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x\sns-15-sns-21-sns-x\outputs\business-samples\"/>
    </mc:Choice>
  </mc:AlternateContent>
  <xr:revisionPtr revIDLastSave="0" documentId="8_{2B5F7A2B-0BE2-40A7-916C-00BD509218A9}" xr6:coauthVersionLast="47" xr6:coauthVersionMax="47" xr10:uidLastSave="{00000000-0000-0000-0000-000000000000}"/>
  <bookViews>
    <workbookView xWindow="8850" yWindow="4380" windowWidth="13560" windowHeight="8340" activeTab="1" xr2:uid="{587B3BDF-64BA-48F7-A4B4-5BD7E6BAB373}"/>
  </bookViews>
  <sheets>
    <sheet name="勤務表" sheetId="1" r:id="rId1"/>
    <sheet name="休日設定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K40" i="1"/>
  <c r="J40" i="1"/>
  <c r="I40" i="1"/>
  <c r="H40" i="1"/>
  <c r="D40" i="1"/>
  <c r="C40" i="1"/>
  <c r="B40" i="1"/>
  <c r="A40" i="1"/>
  <c r="K39" i="1"/>
  <c r="J39" i="1"/>
  <c r="I39" i="1"/>
  <c r="H39" i="1"/>
  <c r="D39" i="1"/>
  <c r="C39" i="1"/>
  <c r="B39" i="1"/>
  <c r="A39" i="1"/>
  <c r="K38" i="1"/>
  <c r="J38" i="1"/>
  <c r="I38" i="1"/>
  <c r="H38" i="1"/>
  <c r="D38" i="1"/>
  <c r="C38" i="1"/>
  <c r="B38" i="1"/>
  <c r="A38" i="1"/>
  <c r="K37" i="1"/>
  <c r="J37" i="1"/>
  <c r="I37" i="1"/>
  <c r="H37" i="1"/>
  <c r="D37" i="1"/>
  <c r="C37" i="1"/>
  <c r="B37" i="1"/>
  <c r="A37" i="1"/>
  <c r="K36" i="1"/>
  <c r="J36" i="1"/>
  <c r="I36" i="1"/>
  <c r="H36" i="1"/>
  <c r="D36" i="1"/>
  <c r="C36" i="1"/>
  <c r="B36" i="1"/>
  <c r="A36" i="1"/>
  <c r="K35" i="1"/>
  <c r="J35" i="1"/>
  <c r="I35" i="1"/>
  <c r="H35" i="1"/>
  <c r="D35" i="1"/>
  <c r="C35" i="1"/>
  <c r="B35" i="1"/>
  <c r="A35" i="1"/>
  <c r="K34" i="1"/>
  <c r="J34" i="1"/>
  <c r="I34" i="1"/>
  <c r="H34" i="1"/>
  <c r="D34" i="1"/>
  <c r="C34" i="1"/>
  <c r="B34" i="1"/>
  <c r="A34" i="1"/>
  <c r="K33" i="1"/>
  <c r="J33" i="1"/>
  <c r="I33" i="1"/>
  <c r="H33" i="1"/>
  <c r="D33" i="1"/>
  <c r="C33" i="1"/>
  <c r="B33" i="1"/>
  <c r="A33" i="1"/>
  <c r="K32" i="1"/>
  <c r="J32" i="1"/>
  <c r="I32" i="1"/>
  <c r="H32" i="1"/>
  <c r="D32" i="1"/>
  <c r="C32" i="1"/>
  <c r="B32" i="1"/>
  <c r="A32" i="1"/>
  <c r="K31" i="1"/>
  <c r="J31" i="1"/>
  <c r="I31" i="1"/>
  <c r="H31" i="1"/>
  <c r="D31" i="1"/>
  <c r="C31" i="1"/>
  <c r="B31" i="1"/>
  <c r="A31" i="1"/>
  <c r="K30" i="1"/>
  <c r="J30" i="1"/>
  <c r="I30" i="1"/>
  <c r="H30" i="1"/>
  <c r="D30" i="1"/>
  <c r="C30" i="1"/>
  <c r="B30" i="1"/>
  <c r="A30" i="1"/>
  <c r="K29" i="1"/>
  <c r="J29" i="1"/>
  <c r="I29" i="1"/>
  <c r="H29" i="1"/>
  <c r="D29" i="1"/>
  <c r="C29" i="1"/>
  <c r="B29" i="1"/>
  <c r="A29" i="1"/>
  <c r="K28" i="1"/>
  <c r="J28" i="1"/>
  <c r="I28" i="1"/>
  <c r="H28" i="1"/>
  <c r="D28" i="1"/>
  <c r="C28" i="1"/>
  <c r="B28" i="1"/>
  <c r="A28" i="1"/>
  <c r="K27" i="1"/>
  <c r="J27" i="1"/>
  <c r="I27" i="1"/>
  <c r="H27" i="1"/>
  <c r="D27" i="1"/>
  <c r="C27" i="1"/>
  <c r="B27" i="1"/>
  <c r="A27" i="1"/>
  <c r="K26" i="1"/>
  <c r="J26" i="1"/>
  <c r="I26" i="1"/>
  <c r="H26" i="1"/>
  <c r="D26" i="1"/>
  <c r="C26" i="1"/>
  <c r="B26" i="1"/>
  <c r="A26" i="1"/>
  <c r="K25" i="1"/>
  <c r="J25" i="1"/>
  <c r="I25" i="1"/>
  <c r="H25" i="1"/>
  <c r="D25" i="1"/>
  <c r="C25" i="1"/>
  <c r="B25" i="1"/>
  <c r="A25" i="1"/>
  <c r="K24" i="1"/>
  <c r="J24" i="1"/>
  <c r="I24" i="1"/>
  <c r="H24" i="1"/>
  <c r="D24" i="1"/>
  <c r="C24" i="1"/>
  <c r="B24" i="1"/>
  <c r="A24" i="1"/>
  <c r="K23" i="1"/>
  <c r="J23" i="1"/>
  <c r="I23" i="1"/>
  <c r="H23" i="1"/>
  <c r="D23" i="1"/>
  <c r="C23" i="1"/>
  <c r="B23" i="1"/>
  <c r="A23" i="1"/>
  <c r="K22" i="1"/>
  <c r="J22" i="1"/>
  <c r="I22" i="1"/>
  <c r="H22" i="1"/>
  <c r="D22" i="1"/>
  <c r="C22" i="1"/>
  <c r="B22" i="1"/>
  <c r="A22" i="1"/>
  <c r="K21" i="1"/>
  <c r="J21" i="1"/>
  <c r="I21" i="1"/>
  <c r="H21" i="1"/>
  <c r="D21" i="1"/>
  <c r="C21" i="1"/>
  <c r="B21" i="1"/>
  <c r="A21" i="1"/>
  <c r="K20" i="1"/>
  <c r="J20" i="1"/>
  <c r="I20" i="1"/>
  <c r="H20" i="1"/>
  <c r="D20" i="1"/>
  <c r="C20" i="1"/>
  <c r="B20" i="1"/>
  <c r="A20" i="1"/>
  <c r="K19" i="1"/>
  <c r="J19" i="1"/>
  <c r="I19" i="1"/>
  <c r="H19" i="1"/>
  <c r="D19" i="1"/>
  <c r="C19" i="1"/>
  <c r="B19" i="1"/>
  <c r="A19" i="1"/>
  <c r="K18" i="1"/>
  <c r="J18" i="1"/>
  <c r="I18" i="1"/>
  <c r="H18" i="1"/>
  <c r="D18" i="1"/>
  <c r="C18" i="1"/>
  <c r="B18" i="1"/>
  <c r="A18" i="1"/>
  <c r="K17" i="1"/>
  <c r="J17" i="1"/>
  <c r="I17" i="1"/>
  <c r="H17" i="1"/>
  <c r="D17" i="1"/>
  <c r="C17" i="1"/>
  <c r="B17" i="1"/>
  <c r="A17" i="1"/>
  <c r="K16" i="1"/>
  <c r="J16" i="1"/>
  <c r="I16" i="1"/>
  <c r="H16" i="1"/>
  <c r="D16" i="1"/>
  <c r="C16" i="1"/>
  <c r="B16" i="1"/>
  <c r="A16" i="1"/>
  <c r="K15" i="1"/>
  <c r="J15" i="1"/>
  <c r="I15" i="1"/>
  <c r="H15" i="1"/>
  <c r="D15" i="1"/>
  <c r="C15" i="1"/>
  <c r="B15" i="1"/>
  <c r="A15" i="1"/>
  <c r="K14" i="1"/>
  <c r="J14" i="1"/>
  <c r="I14" i="1"/>
  <c r="H14" i="1"/>
  <c r="D14" i="1"/>
  <c r="C14" i="1"/>
  <c r="B14" i="1"/>
  <c r="A14" i="1"/>
  <c r="K13" i="1"/>
  <c r="J13" i="1"/>
  <c r="I13" i="1"/>
  <c r="H13" i="1"/>
  <c r="D13" i="1"/>
  <c r="C13" i="1"/>
  <c r="B13" i="1"/>
  <c r="A13" i="1"/>
  <c r="K12" i="1"/>
  <c r="J12" i="1"/>
  <c r="I12" i="1"/>
  <c r="H12" i="1"/>
  <c r="D12" i="1"/>
  <c r="C12" i="1"/>
  <c r="B12" i="1"/>
  <c r="A12" i="1"/>
  <c r="K11" i="1"/>
  <c r="J11" i="1"/>
  <c r="I11" i="1"/>
  <c r="H11" i="1"/>
  <c r="D11" i="1"/>
  <c r="C11" i="1"/>
  <c r="B11" i="1"/>
  <c r="A11" i="1"/>
  <c r="K10" i="1"/>
  <c r="J10" i="1"/>
  <c r="I10" i="1"/>
  <c r="H10" i="1"/>
  <c r="D10" i="1"/>
  <c r="C10" i="1"/>
  <c r="B10" i="1"/>
  <c r="A10" i="1"/>
</calcChain>
</file>

<file path=xl/sharedStrings.xml><?xml version="1.0" encoding="utf-8"?>
<sst xmlns="http://schemas.openxmlformats.org/spreadsheetml/2006/main" count="62" uniqueCount="57">
  <si>
    <t>標準勤務表サンプル</t>
  </si>
  <si>
    <t>祝日・会社休日を反映し、不足時間・残業・休日行を見える化するサンプルです。</t>
  </si>
  <si>
    <t>対象年月</t>
  </si>
  <si>
    <t>氏名</t>
  </si>
  <si>
    <t>山田 太郎</t>
  </si>
  <si>
    <t>所定開始</t>
  </si>
  <si>
    <t>所定終了</t>
  </si>
  <si>
    <t>休日設定</t>
  </si>
  <si>
    <t>勤務表の休日判定に使う祝日・会社休日の一覧です。会社独自の休日は右側に追記できます。</t>
  </si>
  <si>
    <t>祝日</t>
  </si>
  <si>
    <t>祝日名</t>
  </si>
  <si>
    <t>メモ</t>
  </si>
  <si>
    <t>会社休日</t>
  </si>
  <si>
    <t>休日名</t>
  </si>
  <si>
    <t>元日</t>
  </si>
  <si>
    <t>創立記念日</t>
  </si>
  <si>
    <t>会社独自の休日サンプル</t>
  </si>
  <si>
    <t>成人の日</t>
  </si>
  <si>
    <t>夏季休暇</t>
  </si>
  <si>
    <t>建国記念の日</t>
  </si>
  <si>
    <t>天皇誕生日</t>
  </si>
  <si>
    <t>春分の日</t>
  </si>
  <si>
    <t>年末休暇</t>
  </si>
  <si>
    <t>昭和の日</t>
  </si>
  <si>
    <t>憲法記念日</t>
  </si>
  <si>
    <t>みどりの日</t>
  </si>
  <si>
    <t>こどもの日</t>
  </si>
  <si>
    <t>振替休日</t>
  </si>
  <si>
    <t>海の日</t>
  </si>
  <si>
    <t>山の日</t>
  </si>
  <si>
    <t>敬老の日</t>
  </si>
  <si>
    <t>国民の休日</t>
  </si>
  <si>
    <t>秋分の日</t>
  </si>
  <si>
    <t>スポーツの日</t>
  </si>
  <si>
    <t>文化の日</t>
  </si>
  <si>
    <t>勤労感謝の日</t>
  </si>
  <si>
    <t>日付</t>
  </si>
  <si>
    <t>曜日</t>
  </si>
  <si>
    <t>休日判定</t>
  </si>
  <si>
    <t>勤務区分</t>
  </si>
  <si>
    <t>出勤</t>
  </si>
  <si>
    <t>退勤</t>
  </si>
  <si>
    <t>休憩</t>
  </si>
  <si>
    <t>勤務時間</t>
  </si>
  <si>
    <t>所定時間</t>
  </si>
  <si>
    <t>不足</t>
  </si>
  <si>
    <t>残業</t>
  </si>
  <si>
    <t>備考</t>
  </si>
  <si>
    <t>出勤日数</t>
  </si>
  <si>
    <t>有休日数</t>
  </si>
  <si>
    <t>総勤務時間</t>
  </si>
  <si>
    <t>総不足時間</t>
  </si>
  <si>
    <t>総残業時間</t>
  </si>
  <si>
    <t>休日数</t>
  </si>
  <si>
    <t>休日出勤日数</t>
  </si>
  <si>
    <t>確認メモ</t>
  </si>
  <si>
    <t>残業や休憩時間の入力漏れを確認してください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</si>
</sst>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hh:mm"/>
    <numFmt numFmtId="180" formatCode="yyyy/mm/dd"/>
    <numFmt numFmtId="181" formatCode="[h]:mm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666666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rgb="FFFFFFFF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04060"/>
        <bgColor indexed="64"/>
      </patternFill>
    </fill>
    <fill>
      <patternFill patternType="solid">
        <fgColor rgb="FFE7EEF3"/>
        <bgColor indexed="64"/>
      </patternFill>
    </fill>
    <fill>
      <patternFill patternType="solid">
        <fgColor rgb="FF164E6B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55" fontId="3" fillId="0" borderId="0" xfId="0" applyNumberFormat="1" applyFont="1">
      <alignment vertical="center"/>
    </xf>
    <xf numFmtId="179" fontId="3" fillId="0" borderId="0" xfId="0" applyNumberFormat="1" applyFont="1">
      <alignment vertical="center"/>
    </xf>
    <xf numFmtId="0" fontId="6" fillId="4" borderId="1" xfId="0" applyFont="1" applyFill="1" applyBorder="1" applyAlignment="1">
      <alignment horizontal="center" vertical="center"/>
    </xf>
    <xf numFmtId="180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181" fontId="3" fillId="0" borderId="1" xfId="0" applyNumberFormat="1" applyFont="1" applyBorder="1">
      <alignment vertical="center"/>
    </xf>
    <xf numFmtId="0" fontId="5" fillId="0" borderId="1" xfId="0" applyFont="1" applyFill="1" applyBorder="1">
      <alignment vertical="center"/>
    </xf>
    <xf numFmtId="181" fontId="5" fillId="0" borderId="1" xfId="0" applyNumberFormat="1" applyFont="1" applyFill="1" applyBorder="1">
      <alignment vertical="center"/>
    </xf>
  </cellXfs>
  <cellStyles count="1">
    <cellStyle name="標準" xfId="0" builtinId="0"/>
  </cellStyles>
  <dxfs count="3">
    <dxf>
      <font>
        <color rgb="FF004080"/>
      </font>
      <fill>
        <patternFill>
          <bgColor rgb="FFFFFFCC"/>
        </patternFill>
      </fill>
    </dxf>
    <dxf>
      <font>
        <color rgb="FFC00000"/>
      </font>
      <fill>
        <patternFill>
          <bgColor rgb="FFFFE1D9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0069-AFFF-46AB-83E1-C300E98DA026}">
  <dimension ref="A1:L50"/>
  <sheetViews>
    <sheetView workbookViewId="0"/>
  </sheetViews>
  <sheetFormatPr defaultRowHeight="15.75" x14ac:dyDescent="0.4"/>
  <cols>
    <col min="1" max="1" width="13.25" style="3" bestFit="1" customWidth="1"/>
    <col min="2" max="2" width="40.375" style="3" bestFit="1" customWidth="1"/>
    <col min="3" max="4" width="12.625" style="3" customWidth="1"/>
    <col min="5" max="5" width="5.875" style="3" bestFit="1" customWidth="1"/>
    <col min="6" max="6" width="7" style="3" bestFit="1" customWidth="1"/>
    <col min="7" max="7" width="5.875" style="3" bestFit="1" customWidth="1"/>
    <col min="8" max="9" width="9.25" style="3" bestFit="1" customWidth="1"/>
    <col min="10" max="11" width="5.875" style="3" bestFit="1" customWidth="1"/>
    <col min="12" max="12" width="30.625" style="3" customWidth="1"/>
    <col min="13" max="16384" width="9" style="3"/>
  </cols>
  <sheetData>
    <row r="1" spans="1:12" ht="24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4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x14ac:dyDescent="0.4">
      <c r="A4" s="6" t="s">
        <v>2</v>
      </c>
      <c r="B4" s="7">
        <v>46174</v>
      </c>
    </row>
    <row r="5" spans="1:12" x14ac:dyDescent="0.4">
      <c r="A5" s="6" t="s">
        <v>3</v>
      </c>
      <c r="B5" s="3" t="s">
        <v>4</v>
      </c>
    </row>
    <row r="6" spans="1:12" x14ac:dyDescent="0.4">
      <c r="A6" s="6" t="s">
        <v>5</v>
      </c>
      <c r="B6" s="8">
        <v>0.375</v>
      </c>
    </row>
    <row r="7" spans="1:12" x14ac:dyDescent="0.4">
      <c r="A7" s="6" t="s">
        <v>6</v>
      </c>
      <c r="B7" s="8">
        <v>0.75</v>
      </c>
    </row>
    <row r="9" spans="1:12" x14ac:dyDescent="0.4">
      <c r="A9" s="9" t="s">
        <v>36</v>
      </c>
      <c r="B9" s="9" t="s">
        <v>37</v>
      </c>
      <c r="C9" s="9" t="s">
        <v>38</v>
      </c>
      <c r="D9" s="9" t="s">
        <v>39</v>
      </c>
      <c r="E9" s="9" t="s">
        <v>40</v>
      </c>
      <c r="F9" s="9" t="s">
        <v>41</v>
      </c>
      <c r="G9" s="9" t="s">
        <v>42</v>
      </c>
      <c r="H9" s="9" t="s">
        <v>43</v>
      </c>
      <c r="I9" s="9" t="s">
        <v>44</v>
      </c>
      <c r="J9" s="9" t="s">
        <v>45</v>
      </c>
      <c r="K9" s="9" t="s">
        <v>46</v>
      </c>
      <c r="L9" s="9" t="s">
        <v>47</v>
      </c>
    </row>
    <row r="10" spans="1:12" x14ac:dyDescent="0.4">
      <c r="A10" s="10">
        <f>IF(MONTH(DATE(YEAR($B$4),MONTH($B$4),1))&lt;&gt;MONTH($B$4),"",DATE(YEAR($B$4),MONTH($B$4),1))</f>
        <v>46174</v>
      </c>
      <c r="B10" s="11" t="str">
        <f>IF(A10="","",TEXT(A10,"aaa"))</f>
        <v>月</v>
      </c>
      <c r="C10" s="11" t="str">
        <f>IF(A10="","",IF(COUNTIF(休日設定!$A$5:$A$80,A10)&gt;0,"祝日",IF(COUNTIF(休日設定!$D$5:$D$80,A10)&gt;0,"会社休日",IF(OR(B10="土",B10="日"),"土日","平日"))))</f>
        <v>平日</v>
      </c>
      <c r="D10" s="11" t="str">
        <f>IF(A10="","",IF(C10="平日","出勤","休日"))</f>
        <v>出勤</v>
      </c>
      <c r="E10" s="12">
        <v>0.375</v>
      </c>
      <c r="F10" s="12">
        <v>0.77083333333333337</v>
      </c>
      <c r="G10" s="12">
        <v>4.1666666666666664E-2</v>
      </c>
      <c r="H10" s="12">
        <f>IF(OR(E10="",F10=""),"",MAX(0,F10-E10-G10))</f>
        <v>0.35416666666666669</v>
      </c>
      <c r="I10" s="12">
        <f>IF(D10="出勤",TIME(8,0,0),IF(D10="半休",TIME(4,0,0),0))</f>
        <v>0.33333333333333331</v>
      </c>
      <c r="J10" s="12">
        <f>IF(H10="","",MAX(0,I10-H10))</f>
        <v>0</v>
      </c>
      <c r="K10" s="12">
        <f>IF(H10="","",MAX(0,H10-I10))</f>
        <v>2.083333333333337E-2</v>
      </c>
      <c r="L10" s="11"/>
    </row>
    <row r="11" spans="1:12" x14ac:dyDescent="0.4">
      <c r="A11" s="10">
        <f>IF(MONTH(DATE(YEAR($B$4),MONTH($B$4),2))&lt;&gt;MONTH($B$4),"",DATE(YEAR($B$4),MONTH($B$4),2))</f>
        <v>46175</v>
      </c>
      <c r="B11" s="11" t="str">
        <f>IF(A11="","",TEXT(A11,"aaa"))</f>
        <v>火</v>
      </c>
      <c r="C11" s="11" t="str">
        <f>IF(A11="","",IF(COUNTIF(休日設定!$A$5:$A$80,A11)&gt;0,"祝日",IF(COUNTIF(休日設定!$D$5:$D$80,A11)&gt;0,"会社休日",IF(OR(B11="土",B11="日"),"土日","平日"))))</f>
        <v>平日</v>
      </c>
      <c r="D11" s="11" t="str">
        <f>IF(A11="","",IF(C11="平日","出勤","休日"))</f>
        <v>出勤</v>
      </c>
      <c r="E11" s="12">
        <v>0.375</v>
      </c>
      <c r="F11" s="12">
        <v>0.77083333333333337</v>
      </c>
      <c r="G11" s="12">
        <v>4.1666666666666664E-2</v>
      </c>
      <c r="H11" s="12">
        <f>IF(OR(E11="",F11=""),"",MAX(0,F11-E11-G11))</f>
        <v>0.35416666666666669</v>
      </c>
      <c r="I11" s="12">
        <f>IF(D11="出勤",TIME(8,0,0),IF(D11="半休",TIME(4,0,0),0))</f>
        <v>0.33333333333333331</v>
      </c>
      <c r="J11" s="12">
        <f>IF(H11="","",MAX(0,I11-H11))</f>
        <v>0</v>
      </c>
      <c r="K11" s="12">
        <f>IF(H11="","",MAX(0,H11-I11))</f>
        <v>2.083333333333337E-2</v>
      </c>
      <c r="L11" s="11"/>
    </row>
    <row r="12" spans="1:12" x14ac:dyDescent="0.4">
      <c r="A12" s="10">
        <f>IF(MONTH(DATE(YEAR($B$4),MONTH($B$4),3))&lt;&gt;MONTH($B$4),"",DATE(YEAR($B$4),MONTH($B$4),3))</f>
        <v>46176</v>
      </c>
      <c r="B12" s="11" t="str">
        <f>IF(A12="","",TEXT(A12,"aaa"))</f>
        <v>水</v>
      </c>
      <c r="C12" s="11" t="str">
        <f>IF(A12="","",IF(COUNTIF(休日設定!$A$5:$A$80,A12)&gt;0,"祝日",IF(COUNTIF(休日設定!$D$5:$D$80,A12)&gt;0,"会社休日",IF(OR(B12="土",B12="日"),"土日","平日"))))</f>
        <v>平日</v>
      </c>
      <c r="D12" s="11" t="str">
        <f>IF(A12="","",IF(C12="平日","出勤","休日"))</f>
        <v>出勤</v>
      </c>
      <c r="E12" s="12">
        <v>0.39583333333333331</v>
      </c>
      <c r="F12" s="12">
        <v>0.70833333333333337</v>
      </c>
      <c r="G12" s="12">
        <v>4.1666666666666664E-2</v>
      </c>
      <c r="H12" s="12">
        <f>IF(OR(E12="",F12=""),"",MAX(0,F12-E12-G12))</f>
        <v>0.27083333333333337</v>
      </c>
      <c r="I12" s="12">
        <f>IF(D12="出勤",TIME(8,0,0),IF(D12="半休",TIME(4,0,0),0))</f>
        <v>0.33333333333333331</v>
      </c>
      <c r="J12" s="12">
        <f>IF(H12="","",MAX(0,I12-H12))</f>
        <v>6.2499999999999944E-2</v>
      </c>
      <c r="K12" s="12">
        <f>IF(H12="","",MAX(0,H12-I12))</f>
        <v>0</v>
      </c>
      <c r="L12" s="11"/>
    </row>
    <row r="13" spans="1:12" x14ac:dyDescent="0.4">
      <c r="A13" s="10">
        <f>IF(MONTH(DATE(YEAR($B$4),MONTH($B$4),4))&lt;&gt;MONTH($B$4),"",DATE(YEAR($B$4),MONTH($B$4),4))</f>
        <v>46177</v>
      </c>
      <c r="B13" s="11" t="str">
        <f>IF(A13="","",TEXT(A13,"aaa"))</f>
        <v>木</v>
      </c>
      <c r="C13" s="11" t="str">
        <f>IF(A13="","",IF(COUNTIF(休日設定!$A$5:$A$80,A13)&gt;0,"祝日",IF(COUNTIF(休日設定!$D$5:$D$80,A13)&gt;0,"会社休日",IF(OR(B13="土",B13="日"),"土日","平日"))))</f>
        <v>平日</v>
      </c>
      <c r="D13" s="11" t="str">
        <f>IF(A13="","",IF(C13="平日","出勤","休日"))</f>
        <v>出勤</v>
      </c>
      <c r="E13" s="12">
        <v>0.375</v>
      </c>
      <c r="F13" s="12">
        <v>0.77083333333333337</v>
      </c>
      <c r="G13" s="12">
        <v>4.1666666666666664E-2</v>
      </c>
      <c r="H13" s="12">
        <f>IF(OR(E13="",F13=""),"",MAX(0,F13-E13-G13))</f>
        <v>0.35416666666666669</v>
      </c>
      <c r="I13" s="12">
        <f>IF(D13="出勤",TIME(8,0,0),IF(D13="半休",TIME(4,0,0),0))</f>
        <v>0.33333333333333331</v>
      </c>
      <c r="J13" s="12">
        <f>IF(H13="","",MAX(0,I13-H13))</f>
        <v>0</v>
      </c>
      <c r="K13" s="12">
        <f>IF(H13="","",MAX(0,H13-I13))</f>
        <v>2.083333333333337E-2</v>
      </c>
      <c r="L13" s="11"/>
    </row>
    <row r="14" spans="1:12" x14ac:dyDescent="0.4">
      <c r="A14" s="10">
        <f>IF(MONTH(DATE(YEAR($B$4),MONTH($B$4),5))&lt;&gt;MONTH($B$4),"",DATE(YEAR($B$4),MONTH($B$4),5))</f>
        <v>46178</v>
      </c>
      <c r="B14" s="11" t="str">
        <f>IF(A14="","",TEXT(A14,"aaa"))</f>
        <v>金</v>
      </c>
      <c r="C14" s="11" t="str">
        <f>IF(A14="","",IF(COUNTIF(休日設定!$A$5:$A$80,A14)&gt;0,"祝日",IF(COUNTIF(休日設定!$D$5:$D$80,A14)&gt;0,"会社休日",IF(OR(B14="土",B14="日"),"土日","平日"))))</f>
        <v>平日</v>
      </c>
      <c r="D14" s="11" t="str">
        <f>IF(A14="","",IF(C14="平日","出勤","休日"))</f>
        <v>出勤</v>
      </c>
      <c r="E14" s="12">
        <v>0.375</v>
      </c>
      <c r="F14" s="12">
        <v>0.77083333333333337</v>
      </c>
      <c r="G14" s="12">
        <v>4.1666666666666664E-2</v>
      </c>
      <c r="H14" s="12">
        <f>IF(OR(E14="",F14=""),"",MAX(0,F14-E14-G14))</f>
        <v>0.35416666666666669</v>
      </c>
      <c r="I14" s="12">
        <f>IF(D14="出勤",TIME(8,0,0),IF(D14="半休",TIME(4,0,0),0))</f>
        <v>0.33333333333333331</v>
      </c>
      <c r="J14" s="12">
        <f>IF(H14="","",MAX(0,I14-H14))</f>
        <v>0</v>
      </c>
      <c r="K14" s="12">
        <f>IF(H14="","",MAX(0,H14-I14))</f>
        <v>2.083333333333337E-2</v>
      </c>
      <c r="L14" s="11"/>
    </row>
    <row r="15" spans="1:12" x14ac:dyDescent="0.4">
      <c r="A15" s="10">
        <f>IF(MONTH(DATE(YEAR($B$4),MONTH($B$4),6))&lt;&gt;MONTH($B$4),"",DATE(YEAR($B$4),MONTH($B$4),6))</f>
        <v>46179</v>
      </c>
      <c r="B15" s="11" t="str">
        <f>IF(A15="","",TEXT(A15,"aaa"))</f>
        <v>土</v>
      </c>
      <c r="C15" s="11" t="str">
        <f>IF(A15="","",IF(COUNTIF(休日設定!$A$5:$A$80,A15)&gt;0,"祝日",IF(COUNTIF(休日設定!$D$5:$D$80,A15)&gt;0,"会社休日",IF(OR(B15="土",B15="日"),"土日","平日"))))</f>
        <v>土日</v>
      </c>
      <c r="D15" s="11" t="str">
        <f>IF(A15="","",IF(C15="平日","出勤","休日"))</f>
        <v>休日</v>
      </c>
      <c r="E15" s="12"/>
      <c r="F15" s="12"/>
      <c r="G15" s="12"/>
      <c r="H15" s="12" t="str">
        <f>IF(OR(E15="",F15=""),"",MAX(0,F15-E15-G15))</f>
        <v/>
      </c>
      <c r="I15" s="12">
        <f>IF(D15="出勤",TIME(8,0,0),IF(D15="半休",TIME(4,0,0),0))</f>
        <v>0</v>
      </c>
      <c r="J15" s="12" t="str">
        <f>IF(H15="","",MAX(0,I15-H15))</f>
        <v/>
      </c>
      <c r="K15" s="12" t="str">
        <f>IF(H15="","",MAX(0,H15-I15))</f>
        <v/>
      </c>
      <c r="L15" s="11"/>
    </row>
    <row r="16" spans="1:12" x14ac:dyDescent="0.4">
      <c r="A16" s="10">
        <f>IF(MONTH(DATE(YEAR($B$4),MONTH($B$4),7))&lt;&gt;MONTH($B$4),"",DATE(YEAR($B$4),MONTH($B$4),7))</f>
        <v>46180</v>
      </c>
      <c r="B16" s="11" t="str">
        <f>IF(A16="","",TEXT(A16,"aaa"))</f>
        <v>日</v>
      </c>
      <c r="C16" s="11" t="str">
        <f>IF(A16="","",IF(COUNTIF(休日設定!$A$5:$A$80,A16)&gt;0,"祝日",IF(COUNTIF(休日設定!$D$5:$D$80,A16)&gt;0,"会社休日",IF(OR(B16="土",B16="日"),"土日","平日"))))</f>
        <v>土日</v>
      </c>
      <c r="D16" s="11" t="str">
        <f>IF(A16="","",IF(C16="平日","出勤","休日"))</f>
        <v>休日</v>
      </c>
      <c r="E16" s="12"/>
      <c r="F16" s="12"/>
      <c r="G16" s="12"/>
      <c r="H16" s="12" t="str">
        <f>IF(OR(E16="",F16=""),"",MAX(0,F16-E16-G16))</f>
        <v/>
      </c>
      <c r="I16" s="12">
        <f>IF(D16="出勤",TIME(8,0,0),IF(D16="半休",TIME(4,0,0),0))</f>
        <v>0</v>
      </c>
      <c r="J16" s="12" t="str">
        <f>IF(H16="","",MAX(0,I16-H16))</f>
        <v/>
      </c>
      <c r="K16" s="12" t="str">
        <f>IF(H16="","",MAX(0,H16-I16))</f>
        <v/>
      </c>
      <c r="L16" s="11"/>
    </row>
    <row r="17" spans="1:12" x14ac:dyDescent="0.4">
      <c r="A17" s="10">
        <f>IF(MONTH(DATE(YEAR($B$4),MONTH($B$4),8))&lt;&gt;MONTH($B$4),"",DATE(YEAR($B$4),MONTH($B$4),8))</f>
        <v>46181</v>
      </c>
      <c r="B17" s="11" t="str">
        <f>IF(A17="","",TEXT(A17,"aaa"))</f>
        <v>月</v>
      </c>
      <c r="C17" s="11" t="str">
        <f>IF(A17="","",IF(COUNTIF(休日設定!$A$5:$A$80,A17)&gt;0,"祝日",IF(COUNTIF(休日設定!$D$5:$D$80,A17)&gt;0,"会社休日",IF(OR(B17="土",B17="日"),"土日","平日"))))</f>
        <v>平日</v>
      </c>
      <c r="D17" s="11" t="str">
        <f>IF(A17="","",IF(C17="平日","出勤","休日"))</f>
        <v>出勤</v>
      </c>
      <c r="E17" s="12"/>
      <c r="F17" s="12"/>
      <c r="G17" s="12"/>
      <c r="H17" s="12" t="str">
        <f>IF(OR(E17="",F17=""),"",MAX(0,F17-E17-G17))</f>
        <v/>
      </c>
      <c r="I17" s="12">
        <f>IF(D17="出勤",TIME(8,0,0),IF(D17="半休",TIME(4,0,0),0))</f>
        <v>0.33333333333333331</v>
      </c>
      <c r="J17" s="12" t="str">
        <f>IF(H17="","",MAX(0,I17-H17))</f>
        <v/>
      </c>
      <c r="K17" s="12" t="str">
        <f>IF(H17="","",MAX(0,H17-I17))</f>
        <v/>
      </c>
      <c r="L17" s="11"/>
    </row>
    <row r="18" spans="1:12" x14ac:dyDescent="0.4">
      <c r="A18" s="10">
        <f>IF(MONTH(DATE(YEAR($B$4),MONTH($B$4),9))&lt;&gt;MONTH($B$4),"",DATE(YEAR($B$4),MONTH($B$4),9))</f>
        <v>46182</v>
      </c>
      <c r="B18" s="11" t="str">
        <f>IF(A18="","",TEXT(A18,"aaa"))</f>
        <v>火</v>
      </c>
      <c r="C18" s="11" t="str">
        <f>IF(A18="","",IF(COUNTIF(休日設定!$A$5:$A$80,A18)&gt;0,"祝日",IF(COUNTIF(休日設定!$D$5:$D$80,A18)&gt;0,"会社休日",IF(OR(B18="土",B18="日"),"土日","平日"))))</f>
        <v>平日</v>
      </c>
      <c r="D18" s="11" t="str">
        <f>IF(A18="","",IF(C18="平日","出勤","休日"))</f>
        <v>出勤</v>
      </c>
      <c r="E18" s="12"/>
      <c r="F18" s="12"/>
      <c r="G18" s="12"/>
      <c r="H18" s="12" t="str">
        <f>IF(OR(E18="",F18=""),"",MAX(0,F18-E18-G18))</f>
        <v/>
      </c>
      <c r="I18" s="12">
        <f>IF(D18="出勤",TIME(8,0,0),IF(D18="半休",TIME(4,0,0),0))</f>
        <v>0.33333333333333331</v>
      </c>
      <c r="J18" s="12" t="str">
        <f>IF(H18="","",MAX(0,I18-H18))</f>
        <v/>
      </c>
      <c r="K18" s="12" t="str">
        <f>IF(H18="","",MAX(0,H18-I18))</f>
        <v/>
      </c>
      <c r="L18" s="11"/>
    </row>
    <row r="19" spans="1:12" x14ac:dyDescent="0.4">
      <c r="A19" s="10">
        <f>IF(MONTH(DATE(YEAR($B$4),MONTH($B$4),10))&lt;&gt;MONTH($B$4),"",DATE(YEAR($B$4),MONTH($B$4),10))</f>
        <v>46183</v>
      </c>
      <c r="B19" s="11" t="str">
        <f>IF(A19="","",TEXT(A19,"aaa"))</f>
        <v>水</v>
      </c>
      <c r="C19" s="11" t="str">
        <f>IF(A19="","",IF(COUNTIF(休日設定!$A$5:$A$80,A19)&gt;0,"祝日",IF(COUNTIF(休日設定!$D$5:$D$80,A19)&gt;0,"会社休日",IF(OR(B19="土",B19="日"),"土日","平日"))))</f>
        <v>平日</v>
      </c>
      <c r="D19" s="11" t="str">
        <f>IF(A19="","",IF(C19="平日","出勤","休日"))</f>
        <v>出勤</v>
      </c>
      <c r="E19" s="12"/>
      <c r="F19" s="12"/>
      <c r="G19" s="12"/>
      <c r="H19" s="12" t="str">
        <f>IF(OR(E19="",F19=""),"",MAX(0,F19-E19-G19))</f>
        <v/>
      </c>
      <c r="I19" s="12">
        <f>IF(D19="出勤",TIME(8,0,0),IF(D19="半休",TIME(4,0,0),0))</f>
        <v>0.33333333333333331</v>
      </c>
      <c r="J19" s="12" t="str">
        <f>IF(H19="","",MAX(0,I19-H19))</f>
        <v/>
      </c>
      <c r="K19" s="12" t="str">
        <f>IF(H19="","",MAX(0,H19-I19))</f>
        <v/>
      </c>
      <c r="L19" s="11"/>
    </row>
    <row r="20" spans="1:12" x14ac:dyDescent="0.4">
      <c r="A20" s="10">
        <f>IF(MONTH(DATE(YEAR($B$4),MONTH($B$4),11))&lt;&gt;MONTH($B$4),"",DATE(YEAR($B$4),MONTH($B$4),11))</f>
        <v>46184</v>
      </c>
      <c r="B20" s="11" t="str">
        <f>IF(A20="","",TEXT(A20,"aaa"))</f>
        <v>木</v>
      </c>
      <c r="C20" s="11" t="str">
        <f>IF(A20="","",IF(COUNTIF(休日設定!$A$5:$A$80,A20)&gt;0,"祝日",IF(COUNTIF(休日設定!$D$5:$D$80,A20)&gt;0,"会社休日",IF(OR(B20="土",B20="日"),"土日","平日"))))</f>
        <v>平日</v>
      </c>
      <c r="D20" s="11" t="str">
        <f>IF(A20="","",IF(C20="平日","出勤","休日"))</f>
        <v>出勤</v>
      </c>
      <c r="E20" s="12"/>
      <c r="F20" s="12"/>
      <c r="G20" s="12"/>
      <c r="H20" s="12" t="str">
        <f>IF(OR(E20="",F20=""),"",MAX(0,F20-E20-G20))</f>
        <v/>
      </c>
      <c r="I20" s="12">
        <f>IF(D20="出勤",TIME(8,0,0),IF(D20="半休",TIME(4,0,0),0))</f>
        <v>0.33333333333333331</v>
      </c>
      <c r="J20" s="12" t="str">
        <f>IF(H20="","",MAX(0,I20-H20))</f>
        <v/>
      </c>
      <c r="K20" s="12" t="str">
        <f>IF(H20="","",MAX(0,H20-I20))</f>
        <v/>
      </c>
      <c r="L20" s="11"/>
    </row>
    <row r="21" spans="1:12" x14ac:dyDescent="0.4">
      <c r="A21" s="10">
        <f>IF(MONTH(DATE(YEAR($B$4),MONTH($B$4),12))&lt;&gt;MONTH($B$4),"",DATE(YEAR($B$4),MONTH($B$4),12))</f>
        <v>46185</v>
      </c>
      <c r="B21" s="11" t="str">
        <f>IF(A21="","",TEXT(A21,"aaa"))</f>
        <v>金</v>
      </c>
      <c r="C21" s="11" t="str">
        <f>IF(A21="","",IF(COUNTIF(休日設定!$A$5:$A$80,A21)&gt;0,"祝日",IF(COUNTIF(休日設定!$D$5:$D$80,A21)&gt;0,"会社休日",IF(OR(B21="土",B21="日"),"土日","平日"))))</f>
        <v>平日</v>
      </c>
      <c r="D21" s="11" t="str">
        <f>IF(A21="","",IF(C21="平日","出勤","休日"))</f>
        <v>出勤</v>
      </c>
      <c r="E21" s="12"/>
      <c r="F21" s="12"/>
      <c r="G21" s="12"/>
      <c r="H21" s="12" t="str">
        <f>IF(OR(E21="",F21=""),"",MAX(0,F21-E21-G21))</f>
        <v/>
      </c>
      <c r="I21" s="12">
        <f>IF(D21="出勤",TIME(8,0,0),IF(D21="半休",TIME(4,0,0),0))</f>
        <v>0.33333333333333331</v>
      </c>
      <c r="J21" s="12" t="str">
        <f>IF(H21="","",MAX(0,I21-H21))</f>
        <v/>
      </c>
      <c r="K21" s="12" t="str">
        <f>IF(H21="","",MAX(0,H21-I21))</f>
        <v/>
      </c>
      <c r="L21" s="11"/>
    </row>
    <row r="22" spans="1:12" x14ac:dyDescent="0.4">
      <c r="A22" s="10">
        <f>IF(MONTH(DATE(YEAR($B$4),MONTH($B$4),13))&lt;&gt;MONTH($B$4),"",DATE(YEAR($B$4),MONTH($B$4),13))</f>
        <v>46186</v>
      </c>
      <c r="B22" s="11" t="str">
        <f>IF(A22="","",TEXT(A22,"aaa"))</f>
        <v>土</v>
      </c>
      <c r="C22" s="11" t="str">
        <f>IF(A22="","",IF(COUNTIF(休日設定!$A$5:$A$80,A22)&gt;0,"祝日",IF(COUNTIF(休日設定!$D$5:$D$80,A22)&gt;0,"会社休日",IF(OR(B22="土",B22="日"),"土日","平日"))))</f>
        <v>土日</v>
      </c>
      <c r="D22" s="11" t="str">
        <f>IF(A22="","",IF(C22="平日","出勤","休日"))</f>
        <v>休日</v>
      </c>
      <c r="E22" s="12"/>
      <c r="F22" s="12"/>
      <c r="G22" s="12"/>
      <c r="H22" s="12" t="str">
        <f>IF(OR(E22="",F22=""),"",MAX(0,F22-E22-G22))</f>
        <v/>
      </c>
      <c r="I22" s="12">
        <f>IF(D22="出勤",TIME(8,0,0),IF(D22="半休",TIME(4,0,0),0))</f>
        <v>0</v>
      </c>
      <c r="J22" s="12" t="str">
        <f>IF(H22="","",MAX(0,I22-H22))</f>
        <v/>
      </c>
      <c r="K22" s="12" t="str">
        <f>IF(H22="","",MAX(0,H22-I22))</f>
        <v/>
      </c>
      <c r="L22" s="11"/>
    </row>
    <row r="23" spans="1:12" x14ac:dyDescent="0.4">
      <c r="A23" s="10">
        <f>IF(MONTH(DATE(YEAR($B$4),MONTH($B$4),14))&lt;&gt;MONTH($B$4),"",DATE(YEAR($B$4),MONTH($B$4),14))</f>
        <v>46187</v>
      </c>
      <c r="B23" s="11" t="str">
        <f>IF(A23="","",TEXT(A23,"aaa"))</f>
        <v>日</v>
      </c>
      <c r="C23" s="11" t="str">
        <f>IF(A23="","",IF(COUNTIF(休日設定!$A$5:$A$80,A23)&gt;0,"祝日",IF(COUNTIF(休日設定!$D$5:$D$80,A23)&gt;0,"会社休日",IF(OR(B23="土",B23="日"),"土日","平日"))))</f>
        <v>土日</v>
      </c>
      <c r="D23" s="11" t="str">
        <f>IF(A23="","",IF(C23="平日","出勤","休日"))</f>
        <v>休日</v>
      </c>
      <c r="E23" s="12"/>
      <c r="F23" s="12"/>
      <c r="G23" s="12"/>
      <c r="H23" s="12" t="str">
        <f>IF(OR(E23="",F23=""),"",MAX(0,F23-E23-G23))</f>
        <v/>
      </c>
      <c r="I23" s="12">
        <f>IF(D23="出勤",TIME(8,0,0),IF(D23="半休",TIME(4,0,0),0))</f>
        <v>0</v>
      </c>
      <c r="J23" s="12" t="str">
        <f>IF(H23="","",MAX(0,I23-H23))</f>
        <v/>
      </c>
      <c r="K23" s="12" t="str">
        <f>IF(H23="","",MAX(0,H23-I23))</f>
        <v/>
      </c>
      <c r="L23" s="11"/>
    </row>
    <row r="24" spans="1:12" x14ac:dyDescent="0.4">
      <c r="A24" s="10">
        <f>IF(MONTH(DATE(YEAR($B$4),MONTH($B$4),15))&lt;&gt;MONTH($B$4),"",DATE(YEAR($B$4),MONTH($B$4),15))</f>
        <v>46188</v>
      </c>
      <c r="B24" s="11" t="str">
        <f>IF(A24="","",TEXT(A24,"aaa"))</f>
        <v>月</v>
      </c>
      <c r="C24" s="11" t="str">
        <f>IF(A24="","",IF(COUNTIF(休日設定!$A$5:$A$80,A24)&gt;0,"祝日",IF(COUNTIF(休日設定!$D$5:$D$80,A24)&gt;0,"会社休日",IF(OR(B24="土",B24="日"),"土日","平日"))))</f>
        <v>会社休日</v>
      </c>
      <c r="D24" s="11" t="str">
        <f>IF(A24="","",IF(C24="平日","出勤","休日"))</f>
        <v>休日</v>
      </c>
      <c r="E24" s="12"/>
      <c r="F24" s="12"/>
      <c r="G24" s="12"/>
      <c r="H24" s="12" t="str">
        <f>IF(OR(E24="",F24=""),"",MAX(0,F24-E24-G24))</f>
        <v/>
      </c>
      <c r="I24" s="12">
        <f>IF(D24="出勤",TIME(8,0,0),IF(D24="半休",TIME(4,0,0),0))</f>
        <v>0</v>
      </c>
      <c r="J24" s="12" t="str">
        <f>IF(H24="","",MAX(0,I24-H24))</f>
        <v/>
      </c>
      <c r="K24" s="12" t="str">
        <f>IF(H24="","",MAX(0,H24-I24))</f>
        <v/>
      </c>
      <c r="L24" s="11"/>
    </row>
    <row r="25" spans="1:12" x14ac:dyDescent="0.4">
      <c r="A25" s="10">
        <f>IF(MONTH(DATE(YEAR($B$4),MONTH($B$4),16))&lt;&gt;MONTH($B$4),"",DATE(YEAR($B$4),MONTH($B$4),16))</f>
        <v>46189</v>
      </c>
      <c r="B25" s="11" t="str">
        <f>IF(A25="","",TEXT(A25,"aaa"))</f>
        <v>火</v>
      </c>
      <c r="C25" s="11" t="str">
        <f>IF(A25="","",IF(COUNTIF(休日設定!$A$5:$A$80,A25)&gt;0,"祝日",IF(COUNTIF(休日設定!$D$5:$D$80,A25)&gt;0,"会社休日",IF(OR(B25="土",B25="日"),"土日","平日"))))</f>
        <v>平日</v>
      </c>
      <c r="D25" s="11" t="str">
        <f>IF(A25="","",IF(C25="平日","出勤","休日"))</f>
        <v>出勤</v>
      </c>
      <c r="E25" s="12"/>
      <c r="F25" s="12"/>
      <c r="G25" s="12"/>
      <c r="H25" s="12" t="str">
        <f>IF(OR(E25="",F25=""),"",MAX(0,F25-E25-G25))</f>
        <v/>
      </c>
      <c r="I25" s="12">
        <f>IF(D25="出勤",TIME(8,0,0),IF(D25="半休",TIME(4,0,0),0))</f>
        <v>0.33333333333333331</v>
      </c>
      <c r="J25" s="12" t="str">
        <f>IF(H25="","",MAX(0,I25-H25))</f>
        <v/>
      </c>
      <c r="K25" s="12" t="str">
        <f>IF(H25="","",MAX(0,H25-I25))</f>
        <v/>
      </c>
      <c r="L25" s="11"/>
    </row>
    <row r="26" spans="1:12" x14ac:dyDescent="0.4">
      <c r="A26" s="10">
        <f>IF(MONTH(DATE(YEAR($B$4),MONTH($B$4),17))&lt;&gt;MONTH($B$4),"",DATE(YEAR($B$4),MONTH($B$4),17))</f>
        <v>46190</v>
      </c>
      <c r="B26" s="11" t="str">
        <f>IF(A26="","",TEXT(A26,"aaa"))</f>
        <v>水</v>
      </c>
      <c r="C26" s="11" t="str">
        <f>IF(A26="","",IF(COUNTIF(休日設定!$A$5:$A$80,A26)&gt;0,"祝日",IF(COUNTIF(休日設定!$D$5:$D$80,A26)&gt;0,"会社休日",IF(OR(B26="土",B26="日"),"土日","平日"))))</f>
        <v>平日</v>
      </c>
      <c r="D26" s="11" t="str">
        <f>IF(A26="","",IF(C26="平日","出勤","休日"))</f>
        <v>出勤</v>
      </c>
      <c r="E26" s="12"/>
      <c r="F26" s="12"/>
      <c r="G26" s="12"/>
      <c r="H26" s="12" t="str">
        <f>IF(OR(E26="",F26=""),"",MAX(0,F26-E26-G26))</f>
        <v/>
      </c>
      <c r="I26" s="12">
        <f>IF(D26="出勤",TIME(8,0,0),IF(D26="半休",TIME(4,0,0),0))</f>
        <v>0.33333333333333331</v>
      </c>
      <c r="J26" s="12" t="str">
        <f>IF(H26="","",MAX(0,I26-H26))</f>
        <v/>
      </c>
      <c r="K26" s="12" t="str">
        <f>IF(H26="","",MAX(0,H26-I26))</f>
        <v/>
      </c>
      <c r="L26" s="11"/>
    </row>
    <row r="27" spans="1:12" x14ac:dyDescent="0.4">
      <c r="A27" s="10">
        <f>IF(MONTH(DATE(YEAR($B$4),MONTH($B$4),18))&lt;&gt;MONTH($B$4),"",DATE(YEAR($B$4),MONTH($B$4),18))</f>
        <v>46191</v>
      </c>
      <c r="B27" s="11" t="str">
        <f>IF(A27="","",TEXT(A27,"aaa"))</f>
        <v>木</v>
      </c>
      <c r="C27" s="11" t="str">
        <f>IF(A27="","",IF(COUNTIF(休日設定!$A$5:$A$80,A27)&gt;0,"祝日",IF(COUNTIF(休日設定!$D$5:$D$80,A27)&gt;0,"会社休日",IF(OR(B27="土",B27="日"),"土日","平日"))))</f>
        <v>平日</v>
      </c>
      <c r="D27" s="11" t="str">
        <f>IF(A27="","",IF(C27="平日","出勤","休日"))</f>
        <v>出勤</v>
      </c>
      <c r="E27" s="12"/>
      <c r="F27" s="12"/>
      <c r="G27" s="12"/>
      <c r="H27" s="12" t="str">
        <f>IF(OR(E27="",F27=""),"",MAX(0,F27-E27-G27))</f>
        <v/>
      </c>
      <c r="I27" s="12">
        <f>IF(D27="出勤",TIME(8,0,0),IF(D27="半休",TIME(4,0,0),0))</f>
        <v>0.33333333333333331</v>
      </c>
      <c r="J27" s="12" t="str">
        <f>IF(H27="","",MAX(0,I27-H27))</f>
        <v/>
      </c>
      <c r="K27" s="12" t="str">
        <f>IF(H27="","",MAX(0,H27-I27))</f>
        <v/>
      </c>
      <c r="L27" s="11"/>
    </row>
    <row r="28" spans="1:12" x14ac:dyDescent="0.4">
      <c r="A28" s="10">
        <f>IF(MONTH(DATE(YEAR($B$4),MONTH($B$4),19))&lt;&gt;MONTH($B$4),"",DATE(YEAR($B$4),MONTH($B$4),19))</f>
        <v>46192</v>
      </c>
      <c r="B28" s="11" t="str">
        <f>IF(A28="","",TEXT(A28,"aaa"))</f>
        <v>金</v>
      </c>
      <c r="C28" s="11" t="str">
        <f>IF(A28="","",IF(COUNTIF(休日設定!$A$5:$A$80,A28)&gt;0,"祝日",IF(COUNTIF(休日設定!$D$5:$D$80,A28)&gt;0,"会社休日",IF(OR(B28="土",B28="日"),"土日","平日"))))</f>
        <v>平日</v>
      </c>
      <c r="D28" s="11" t="str">
        <f>IF(A28="","",IF(C28="平日","出勤","休日"))</f>
        <v>出勤</v>
      </c>
      <c r="E28" s="12"/>
      <c r="F28" s="12"/>
      <c r="G28" s="12"/>
      <c r="H28" s="12" t="str">
        <f>IF(OR(E28="",F28=""),"",MAX(0,F28-E28-G28))</f>
        <v/>
      </c>
      <c r="I28" s="12">
        <f>IF(D28="出勤",TIME(8,0,0),IF(D28="半休",TIME(4,0,0),0))</f>
        <v>0.33333333333333331</v>
      </c>
      <c r="J28" s="12" t="str">
        <f>IF(H28="","",MAX(0,I28-H28))</f>
        <v/>
      </c>
      <c r="K28" s="12" t="str">
        <f>IF(H28="","",MAX(0,H28-I28))</f>
        <v/>
      </c>
      <c r="L28" s="11"/>
    </row>
    <row r="29" spans="1:12" x14ac:dyDescent="0.4">
      <c r="A29" s="10">
        <f>IF(MONTH(DATE(YEAR($B$4),MONTH($B$4),20))&lt;&gt;MONTH($B$4),"",DATE(YEAR($B$4),MONTH($B$4),20))</f>
        <v>46193</v>
      </c>
      <c r="B29" s="11" t="str">
        <f>IF(A29="","",TEXT(A29,"aaa"))</f>
        <v>土</v>
      </c>
      <c r="C29" s="11" t="str">
        <f>IF(A29="","",IF(COUNTIF(休日設定!$A$5:$A$80,A29)&gt;0,"祝日",IF(COUNTIF(休日設定!$D$5:$D$80,A29)&gt;0,"会社休日",IF(OR(B29="土",B29="日"),"土日","平日"))))</f>
        <v>土日</v>
      </c>
      <c r="D29" s="11" t="str">
        <f>IF(A29="","",IF(C29="平日","出勤","休日"))</f>
        <v>休日</v>
      </c>
      <c r="E29" s="12"/>
      <c r="F29" s="12"/>
      <c r="G29" s="12"/>
      <c r="H29" s="12" t="str">
        <f>IF(OR(E29="",F29=""),"",MAX(0,F29-E29-G29))</f>
        <v/>
      </c>
      <c r="I29" s="12">
        <f>IF(D29="出勤",TIME(8,0,0),IF(D29="半休",TIME(4,0,0),0))</f>
        <v>0</v>
      </c>
      <c r="J29" s="12" t="str">
        <f>IF(H29="","",MAX(0,I29-H29))</f>
        <v/>
      </c>
      <c r="K29" s="12" t="str">
        <f>IF(H29="","",MAX(0,H29-I29))</f>
        <v/>
      </c>
      <c r="L29" s="11"/>
    </row>
    <row r="30" spans="1:12" x14ac:dyDescent="0.4">
      <c r="A30" s="10">
        <f>IF(MONTH(DATE(YEAR($B$4),MONTH($B$4),21))&lt;&gt;MONTH($B$4),"",DATE(YEAR($B$4),MONTH($B$4),21))</f>
        <v>46194</v>
      </c>
      <c r="B30" s="11" t="str">
        <f>IF(A30="","",TEXT(A30,"aaa"))</f>
        <v>日</v>
      </c>
      <c r="C30" s="11" t="str">
        <f>IF(A30="","",IF(COUNTIF(休日設定!$A$5:$A$80,A30)&gt;0,"祝日",IF(COUNTIF(休日設定!$D$5:$D$80,A30)&gt;0,"会社休日",IF(OR(B30="土",B30="日"),"土日","平日"))))</f>
        <v>土日</v>
      </c>
      <c r="D30" s="11" t="str">
        <f>IF(A30="","",IF(C30="平日","出勤","休日"))</f>
        <v>休日</v>
      </c>
      <c r="E30" s="12"/>
      <c r="F30" s="12"/>
      <c r="G30" s="12"/>
      <c r="H30" s="12" t="str">
        <f>IF(OR(E30="",F30=""),"",MAX(0,F30-E30-G30))</f>
        <v/>
      </c>
      <c r="I30" s="12">
        <f>IF(D30="出勤",TIME(8,0,0),IF(D30="半休",TIME(4,0,0),0))</f>
        <v>0</v>
      </c>
      <c r="J30" s="12" t="str">
        <f>IF(H30="","",MAX(0,I30-H30))</f>
        <v/>
      </c>
      <c r="K30" s="12" t="str">
        <f>IF(H30="","",MAX(0,H30-I30))</f>
        <v/>
      </c>
      <c r="L30" s="11"/>
    </row>
    <row r="31" spans="1:12" x14ac:dyDescent="0.4">
      <c r="A31" s="10">
        <f>IF(MONTH(DATE(YEAR($B$4),MONTH($B$4),22))&lt;&gt;MONTH($B$4),"",DATE(YEAR($B$4),MONTH($B$4),22))</f>
        <v>46195</v>
      </c>
      <c r="B31" s="11" t="str">
        <f>IF(A31="","",TEXT(A31,"aaa"))</f>
        <v>月</v>
      </c>
      <c r="C31" s="11" t="str">
        <f>IF(A31="","",IF(COUNTIF(休日設定!$A$5:$A$80,A31)&gt;0,"祝日",IF(COUNTIF(休日設定!$D$5:$D$80,A31)&gt;0,"会社休日",IF(OR(B31="土",B31="日"),"土日","平日"))))</f>
        <v>平日</v>
      </c>
      <c r="D31" s="11" t="str">
        <f>IF(A31="","",IF(C31="平日","出勤","休日"))</f>
        <v>出勤</v>
      </c>
      <c r="E31" s="12"/>
      <c r="F31" s="12"/>
      <c r="G31" s="12"/>
      <c r="H31" s="12" t="str">
        <f>IF(OR(E31="",F31=""),"",MAX(0,F31-E31-G31))</f>
        <v/>
      </c>
      <c r="I31" s="12">
        <f>IF(D31="出勤",TIME(8,0,0),IF(D31="半休",TIME(4,0,0),0))</f>
        <v>0.33333333333333331</v>
      </c>
      <c r="J31" s="12" t="str">
        <f>IF(H31="","",MAX(0,I31-H31))</f>
        <v/>
      </c>
      <c r="K31" s="12" t="str">
        <f>IF(H31="","",MAX(0,H31-I31))</f>
        <v/>
      </c>
      <c r="L31" s="11"/>
    </row>
    <row r="32" spans="1:12" x14ac:dyDescent="0.4">
      <c r="A32" s="10">
        <f>IF(MONTH(DATE(YEAR($B$4),MONTH($B$4),23))&lt;&gt;MONTH($B$4),"",DATE(YEAR($B$4),MONTH($B$4),23))</f>
        <v>46196</v>
      </c>
      <c r="B32" s="11" t="str">
        <f>IF(A32="","",TEXT(A32,"aaa"))</f>
        <v>火</v>
      </c>
      <c r="C32" s="11" t="str">
        <f>IF(A32="","",IF(COUNTIF(休日設定!$A$5:$A$80,A32)&gt;0,"祝日",IF(COUNTIF(休日設定!$D$5:$D$80,A32)&gt;0,"会社休日",IF(OR(B32="土",B32="日"),"土日","平日"))))</f>
        <v>平日</v>
      </c>
      <c r="D32" s="11" t="str">
        <f>IF(A32="","",IF(C32="平日","出勤","休日"))</f>
        <v>出勤</v>
      </c>
      <c r="E32" s="12"/>
      <c r="F32" s="12"/>
      <c r="G32" s="12"/>
      <c r="H32" s="12" t="str">
        <f>IF(OR(E32="",F32=""),"",MAX(0,F32-E32-G32))</f>
        <v/>
      </c>
      <c r="I32" s="12">
        <f>IF(D32="出勤",TIME(8,0,0),IF(D32="半休",TIME(4,0,0),0))</f>
        <v>0.33333333333333331</v>
      </c>
      <c r="J32" s="12" t="str">
        <f>IF(H32="","",MAX(0,I32-H32))</f>
        <v/>
      </c>
      <c r="K32" s="12" t="str">
        <f>IF(H32="","",MAX(0,H32-I32))</f>
        <v/>
      </c>
      <c r="L32" s="11"/>
    </row>
    <row r="33" spans="1:12" x14ac:dyDescent="0.4">
      <c r="A33" s="10">
        <f>IF(MONTH(DATE(YEAR($B$4),MONTH($B$4),24))&lt;&gt;MONTH($B$4),"",DATE(YEAR($B$4),MONTH($B$4),24))</f>
        <v>46197</v>
      </c>
      <c r="B33" s="11" t="str">
        <f>IF(A33="","",TEXT(A33,"aaa"))</f>
        <v>水</v>
      </c>
      <c r="C33" s="11" t="str">
        <f>IF(A33="","",IF(COUNTIF(休日設定!$A$5:$A$80,A33)&gt;0,"祝日",IF(COUNTIF(休日設定!$D$5:$D$80,A33)&gt;0,"会社休日",IF(OR(B33="土",B33="日"),"土日","平日"))))</f>
        <v>平日</v>
      </c>
      <c r="D33" s="11" t="str">
        <f>IF(A33="","",IF(C33="平日","出勤","休日"))</f>
        <v>出勤</v>
      </c>
      <c r="E33" s="12"/>
      <c r="F33" s="12"/>
      <c r="G33" s="12"/>
      <c r="H33" s="12" t="str">
        <f>IF(OR(E33="",F33=""),"",MAX(0,F33-E33-G33))</f>
        <v/>
      </c>
      <c r="I33" s="12">
        <f>IF(D33="出勤",TIME(8,0,0),IF(D33="半休",TIME(4,0,0),0))</f>
        <v>0.33333333333333331</v>
      </c>
      <c r="J33" s="12" t="str">
        <f>IF(H33="","",MAX(0,I33-H33))</f>
        <v/>
      </c>
      <c r="K33" s="12" t="str">
        <f>IF(H33="","",MAX(0,H33-I33))</f>
        <v/>
      </c>
      <c r="L33" s="11"/>
    </row>
    <row r="34" spans="1:12" x14ac:dyDescent="0.4">
      <c r="A34" s="10">
        <f>IF(MONTH(DATE(YEAR($B$4),MONTH($B$4),25))&lt;&gt;MONTH($B$4),"",DATE(YEAR($B$4),MONTH($B$4),25))</f>
        <v>46198</v>
      </c>
      <c r="B34" s="11" t="str">
        <f>IF(A34="","",TEXT(A34,"aaa"))</f>
        <v>木</v>
      </c>
      <c r="C34" s="11" t="str">
        <f>IF(A34="","",IF(COUNTIF(休日設定!$A$5:$A$80,A34)&gt;0,"祝日",IF(COUNTIF(休日設定!$D$5:$D$80,A34)&gt;0,"会社休日",IF(OR(B34="土",B34="日"),"土日","平日"))))</f>
        <v>平日</v>
      </c>
      <c r="D34" s="11" t="str">
        <f>IF(A34="","",IF(C34="平日","出勤","休日"))</f>
        <v>出勤</v>
      </c>
      <c r="E34" s="12"/>
      <c r="F34" s="12"/>
      <c r="G34" s="12"/>
      <c r="H34" s="12" t="str">
        <f>IF(OR(E34="",F34=""),"",MAX(0,F34-E34-G34))</f>
        <v/>
      </c>
      <c r="I34" s="12">
        <f>IF(D34="出勤",TIME(8,0,0),IF(D34="半休",TIME(4,0,0),0))</f>
        <v>0.33333333333333331</v>
      </c>
      <c r="J34" s="12" t="str">
        <f>IF(H34="","",MAX(0,I34-H34))</f>
        <v/>
      </c>
      <c r="K34" s="12" t="str">
        <f>IF(H34="","",MAX(0,H34-I34))</f>
        <v/>
      </c>
      <c r="L34" s="11"/>
    </row>
    <row r="35" spans="1:12" x14ac:dyDescent="0.4">
      <c r="A35" s="10">
        <f>IF(MONTH(DATE(YEAR($B$4),MONTH($B$4),26))&lt;&gt;MONTH($B$4),"",DATE(YEAR($B$4),MONTH($B$4),26))</f>
        <v>46199</v>
      </c>
      <c r="B35" s="11" t="str">
        <f>IF(A35="","",TEXT(A35,"aaa"))</f>
        <v>金</v>
      </c>
      <c r="C35" s="11" t="str">
        <f>IF(A35="","",IF(COUNTIF(休日設定!$A$5:$A$80,A35)&gt;0,"祝日",IF(COUNTIF(休日設定!$D$5:$D$80,A35)&gt;0,"会社休日",IF(OR(B35="土",B35="日"),"土日","平日"))))</f>
        <v>平日</v>
      </c>
      <c r="D35" s="11" t="str">
        <f>IF(A35="","",IF(C35="平日","出勤","休日"))</f>
        <v>出勤</v>
      </c>
      <c r="E35" s="12"/>
      <c r="F35" s="12"/>
      <c r="G35" s="12"/>
      <c r="H35" s="12" t="str">
        <f>IF(OR(E35="",F35=""),"",MAX(0,F35-E35-G35))</f>
        <v/>
      </c>
      <c r="I35" s="12">
        <f>IF(D35="出勤",TIME(8,0,0),IF(D35="半休",TIME(4,0,0),0))</f>
        <v>0.33333333333333331</v>
      </c>
      <c r="J35" s="12" t="str">
        <f>IF(H35="","",MAX(0,I35-H35))</f>
        <v/>
      </c>
      <c r="K35" s="12" t="str">
        <f>IF(H35="","",MAX(0,H35-I35))</f>
        <v/>
      </c>
      <c r="L35" s="11"/>
    </row>
    <row r="36" spans="1:12" x14ac:dyDescent="0.4">
      <c r="A36" s="10">
        <f>IF(MONTH(DATE(YEAR($B$4),MONTH($B$4),27))&lt;&gt;MONTH($B$4),"",DATE(YEAR($B$4),MONTH($B$4),27))</f>
        <v>46200</v>
      </c>
      <c r="B36" s="11" t="str">
        <f>IF(A36="","",TEXT(A36,"aaa"))</f>
        <v>土</v>
      </c>
      <c r="C36" s="11" t="str">
        <f>IF(A36="","",IF(COUNTIF(休日設定!$A$5:$A$80,A36)&gt;0,"祝日",IF(COUNTIF(休日設定!$D$5:$D$80,A36)&gt;0,"会社休日",IF(OR(B36="土",B36="日"),"土日","平日"))))</f>
        <v>土日</v>
      </c>
      <c r="D36" s="11" t="str">
        <f>IF(A36="","",IF(C36="平日","出勤","休日"))</f>
        <v>休日</v>
      </c>
      <c r="E36" s="12"/>
      <c r="F36" s="12"/>
      <c r="G36" s="12"/>
      <c r="H36" s="12" t="str">
        <f>IF(OR(E36="",F36=""),"",MAX(0,F36-E36-G36))</f>
        <v/>
      </c>
      <c r="I36" s="12">
        <f>IF(D36="出勤",TIME(8,0,0),IF(D36="半休",TIME(4,0,0),0))</f>
        <v>0</v>
      </c>
      <c r="J36" s="12" t="str">
        <f>IF(H36="","",MAX(0,I36-H36))</f>
        <v/>
      </c>
      <c r="K36" s="12" t="str">
        <f>IF(H36="","",MAX(0,H36-I36))</f>
        <v/>
      </c>
      <c r="L36" s="11"/>
    </row>
    <row r="37" spans="1:12" x14ac:dyDescent="0.4">
      <c r="A37" s="10">
        <f>IF(MONTH(DATE(YEAR($B$4),MONTH($B$4),28))&lt;&gt;MONTH($B$4),"",DATE(YEAR($B$4),MONTH($B$4),28))</f>
        <v>46201</v>
      </c>
      <c r="B37" s="11" t="str">
        <f>IF(A37="","",TEXT(A37,"aaa"))</f>
        <v>日</v>
      </c>
      <c r="C37" s="11" t="str">
        <f>IF(A37="","",IF(COUNTIF(休日設定!$A$5:$A$80,A37)&gt;0,"祝日",IF(COUNTIF(休日設定!$D$5:$D$80,A37)&gt;0,"会社休日",IF(OR(B37="土",B37="日"),"土日","平日"))))</f>
        <v>土日</v>
      </c>
      <c r="D37" s="11" t="str">
        <f>IF(A37="","",IF(C37="平日","出勤","休日"))</f>
        <v>休日</v>
      </c>
      <c r="E37" s="12"/>
      <c r="F37" s="12"/>
      <c r="G37" s="12"/>
      <c r="H37" s="12" t="str">
        <f>IF(OR(E37="",F37=""),"",MAX(0,F37-E37-G37))</f>
        <v/>
      </c>
      <c r="I37" s="12">
        <f>IF(D37="出勤",TIME(8,0,0),IF(D37="半休",TIME(4,0,0),0))</f>
        <v>0</v>
      </c>
      <c r="J37" s="12" t="str">
        <f>IF(H37="","",MAX(0,I37-H37))</f>
        <v/>
      </c>
      <c r="K37" s="12" t="str">
        <f>IF(H37="","",MAX(0,H37-I37))</f>
        <v/>
      </c>
      <c r="L37" s="11"/>
    </row>
    <row r="38" spans="1:12" x14ac:dyDescent="0.4">
      <c r="A38" s="10">
        <f>IF(MONTH(DATE(YEAR($B$4),MONTH($B$4),29))&lt;&gt;MONTH($B$4),"",DATE(YEAR($B$4),MONTH($B$4),29))</f>
        <v>46202</v>
      </c>
      <c r="B38" s="11" t="str">
        <f>IF(A38="","",TEXT(A38,"aaa"))</f>
        <v>月</v>
      </c>
      <c r="C38" s="11" t="str">
        <f>IF(A38="","",IF(COUNTIF(休日設定!$A$5:$A$80,A38)&gt;0,"祝日",IF(COUNTIF(休日設定!$D$5:$D$80,A38)&gt;0,"会社休日",IF(OR(B38="土",B38="日"),"土日","平日"))))</f>
        <v>平日</v>
      </c>
      <c r="D38" s="11" t="str">
        <f>IF(A38="","",IF(C38="平日","出勤","休日"))</f>
        <v>出勤</v>
      </c>
      <c r="E38" s="12"/>
      <c r="F38" s="12"/>
      <c r="G38" s="12"/>
      <c r="H38" s="12" t="str">
        <f>IF(OR(E38="",F38=""),"",MAX(0,F38-E38-G38))</f>
        <v/>
      </c>
      <c r="I38" s="12">
        <f>IF(D38="出勤",TIME(8,0,0),IF(D38="半休",TIME(4,0,0),0))</f>
        <v>0.33333333333333331</v>
      </c>
      <c r="J38" s="12" t="str">
        <f>IF(H38="","",MAX(0,I38-H38))</f>
        <v/>
      </c>
      <c r="K38" s="12" t="str">
        <f>IF(H38="","",MAX(0,H38-I38))</f>
        <v/>
      </c>
      <c r="L38" s="11"/>
    </row>
    <row r="39" spans="1:12" x14ac:dyDescent="0.4">
      <c r="A39" s="10">
        <f>IF(MONTH(DATE(YEAR($B$4),MONTH($B$4),30))&lt;&gt;MONTH($B$4),"",DATE(YEAR($B$4),MONTH($B$4),30))</f>
        <v>46203</v>
      </c>
      <c r="B39" s="11" t="str">
        <f>IF(A39="","",TEXT(A39,"aaa"))</f>
        <v>火</v>
      </c>
      <c r="C39" s="11" t="str">
        <f>IF(A39="","",IF(COUNTIF(休日設定!$A$5:$A$80,A39)&gt;0,"祝日",IF(COUNTIF(休日設定!$D$5:$D$80,A39)&gt;0,"会社休日",IF(OR(B39="土",B39="日"),"土日","平日"))))</f>
        <v>平日</v>
      </c>
      <c r="D39" s="11" t="str">
        <f>IF(A39="","",IF(C39="平日","出勤","休日"))</f>
        <v>出勤</v>
      </c>
      <c r="E39" s="12"/>
      <c r="F39" s="12"/>
      <c r="G39" s="12"/>
      <c r="H39" s="12" t="str">
        <f>IF(OR(E39="",F39=""),"",MAX(0,F39-E39-G39))</f>
        <v/>
      </c>
      <c r="I39" s="12">
        <f>IF(D39="出勤",TIME(8,0,0),IF(D39="半休",TIME(4,0,0),0))</f>
        <v>0.33333333333333331</v>
      </c>
      <c r="J39" s="12" t="str">
        <f>IF(H39="","",MAX(0,I39-H39))</f>
        <v/>
      </c>
      <c r="K39" s="12" t="str">
        <f>IF(H39="","",MAX(0,H39-I39))</f>
        <v/>
      </c>
      <c r="L39" s="11"/>
    </row>
    <row r="40" spans="1:12" x14ac:dyDescent="0.4">
      <c r="A40" s="10" t="str">
        <f>IF(MONTH(DATE(YEAR($B$4),MONTH($B$4),31))&lt;&gt;MONTH($B$4),"",DATE(YEAR($B$4),MONTH($B$4),31))</f>
        <v/>
      </c>
      <c r="B40" s="11" t="str">
        <f>IF(A40="","",TEXT(A40,"aaa"))</f>
        <v/>
      </c>
      <c r="C40" s="11" t="str">
        <f>IF(A40="","",IF(COUNTIF(休日設定!$A$5:$A$80,A40)&gt;0,"祝日",IF(COUNTIF(休日設定!$D$5:$D$80,A40)&gt;0,"会社休日",IF(OR(B40="土",B40="日"),"土日","平日"))))</f>
        <v/>
      </c>
      <c r="D40" s="11" t="str">
        <f>IF(A40="","",IF(C40="平日","出勤","休日"))</f>
        <v/>
      </c>
      <c r="E40" s="12"/>
      <c r="F40" s="12"/>
      <c r="G40" s="12"/>
      <c r="H40" s="12" t="str">
        <f>IF(OR(E40="",F40=""),"",MAX(0,F40-E40-G40))</f>
        <v/>
      </c>
      <c r="I40" s="12">
        <f>IF(D40="出勤",TIME(8,0,0),IF(D40="半休",TIME(4,0,0),0))</f>
        <v>0</v>
      </c>
      <c r="J40" s="12" t="str">
        <f>IF(H40="","",MAX(0,I40-H40))</f>
        <v/>
      </c>
      <c r="K40" s="12" t="str">
        <f>IF(H40="","",MAX(0,H40-I40))</f>
        <v/>
      </c>
      <c r="L40" s="11"/>
    </row>
    <row r="43" spans="1:12" x14ac:dyDescent="0.4">
      <c r="A43" s="13" t="s">
        <v>48</v>
      </c>
      <c r="B43" s="13">
        <f>COUNTIF(D10:D40,"出勤")</f>
        <v>21</v>
      </c>
    </row>
    <row r="44" spans="1:12" x14ac:dyDescent="0.4">
      <c r="A44" s="13" t="s">
        <v>49</v>
      </c>
      <c r="B44" s="13">
        <f>COUNTIF(D10:D40,"有休")+COUNTIF(D10:D40,"半休")*0.5</f>
        <v>0</v>
      </c>
    </row>
    <row r="45" spans="1:12" x14ac:dyDescent="0.4">
      <c r="A45" s="13" t="s">
        <v>50</v>
      </c>
      <c r="B45" s="14">
        <f>SUM(H10:H40)</f>
        <v>1.6875000000000002</v>
      </c>
    </row>
    <row r="46" spans="1:12" x14ac:dyDescent="0.4">
      <c r="A46" s="13" t="s">
        <v>51</v>
      </c>
      <c r="B46" s="14">
        <f>SUM(J10:J40)</f>
        <v>6.2499999999999944E-2</v>
      </c>
    </row>
    <row r="47" spans="1:12" x14ac:dyDescent="0.4">
      <c r="A47" s="13" t="s">
        <v>52</v>
      </c>
      <c r="B47" s="14">
        <f>SUM(K10:K40)</f>
        <v>8.3333333333333481E-2</v>
      </c>
    </row>
    <row r="48" spans="1:12" x14ac:dyDescent="0.4">
      <c r="A48" s="13" t="s">
        <v>53</v>
      </c>
      <c r="B48" s="13">
        <f>COUNTIF(C10:C40,"祝日")+COUNTIF(C10:C40,"会社休日")+COUNTIF(C10:C40,"土日")</f>
        <v>9</v>
      </c>
    </row>
    <row r="49" spans="1:2" x14ac:dyDescent="0.4">
      <c r="A49" s="13" t="s">
        <v>54</v>
      </c>
      <c r="B49" s="13">
        <f>COUNTIFS(D10:D40,"出勤",C10:C40,"&lt;&gt;平日",C10:C40,"&lt;&gt;")</f>
        <v>0</v>
      </c>
    </row>
    <row r="50" spans="1:2" x14ac:dyDescent="0.4">
      <c r="A50" s="13" t="s">
        <v>55</v>
      </c>
      <c r="B50" s="13" t="s">
        <v>56</v>
      </c>
    </row>
  </sheetData>
  <mergeCells count="2">
    <mergeCell ref="A1:L1"/>
    <mergeCell ref="A2:L2"/>
  </mergeCells>
  <phoneticPr fontId="1"/>
  <conditionalFormatting sqref="A10:L40">
    <cfRule type="expression" dxfId="2" priority="1" stopIfTrue="1">
      <formula>AND($A10&lt;&gt;"",$C10&lt;&gt;"平日")</formula>
    </cfRule>
    <cfRule type="expression" dxfId="1" priority="2" stopIfTrue="1">
      <formula>AND($J10&lt;&gt;"",$J10&gt;0)</formula>
    </cfRule>
  </conditionalFormatting>
  <conditionalFormatting sqref="K10:K40">
    <cfRule type="cellIs" dxfId="0" priority="3" stopIfTrue="1" operator="greaterThan">
      <formula>0</formula>
    </cfRule>
  </conditionalFormatting>
  <dataValidations count="1">
    <dataValidation type="list" allowBlank="1" showInputMessage="1" showErrorMessage="1" sqref="D10:D40" xr:uid="{D216371F-E49F-4F1B-A642-5B7F8D99C609}">
      <formula1>"出勤,休日,有休,欠勤,半休"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EDE6-1E1D-4178-ADE4-DAE1D97201A6}">
  <dimension ref="A1:F80"/>
  <sheetViews>
    <sheetView tabSelected="1" workbookViewId="0">
      <pane ySplit="9" topLeftCell="A10" activePane="bottomLeft" state="frozenSplit"/>
      <selection pane="bottomLeft"/>
    </sheetView>
  </sheetViews>
  <sheetFormatPr defaultRowHeight="15.75" x14ac:dyDescent="0.4"/>
  <cols>
    <col min="1" max="1" width="14.625" style="3" customWidth="1"/>
    <col min="2" max="2" width="18.625" style="3" customWidth="1"/>
    <col min="3" max="3" width="20.625" style="3" customWidth="1"/>
    <col min="4" max="4" width="14.625" style="3" customWidth="1"/>
    <col min="5" max="5" width="18.625" style="3" customWidth="1"/>
    <col min="6" max="6" width="28.625" style="3" customWidth="1"/>
    <col min="7" max="16384" width="9" style="3"/>
  </cols>
  <sheetData>
    <row r="1" spans="1:6" ht="24" x14ac:dyDescent="0.4">
      <c r="A1" s="1" t="s">
        <v>7</v>
      </c>
      <c r="B1" s="2"/>
      <c r="C1" s="2"/>
      <c r="D1" s="2"/>
      <c r="E1" s="2"/>
      <c r="F1" s="2"/>
    </row>
    <row r="2" spans="1:6" x14ac:dyDescent="0.4">
      <c r="A2" s="4" t="s">
        <v>8</v>
      </c>
      <c r="B2" s="5"/>
      <c r="C2" s="5"/>
      <c r="D2" s="5"/>
      <c r="E2" s="5"/>
      <c r="F2" s="5"/>
    </row>
    <row r="4" spans="1:6" x14ac:dyDescent="0.4">
      <c r="A4" s="9" t="s">
        <v>9</v>
      </c>
      <c r="B4" s="9" t="s">
        <v>10</v>
      </c>
      <c r="C4" s="9" t="s">
        <v>11</v>
      </c>
      <c r="D4" s="9" t="s">
        <v>12</v>
      </c>
      <c r="E4" s="9" t="s">
        <v>13</v>
      </c>
      <c r="F4" s="9" t="s">
        <v>11</v>
      </c>
    </row>
    <row r="5" spans="1:6" x14ac:dyDescent="0.4">
      <c r="A5" s="10">
        <v>46023</v>
      </c>
      <c r="B5" s="11" t="s">
        <v>14</v>
      </c>
      <c r="C5" s="11"/>
      <c r="D5" s="10">
        <v>46188</v>
      </c>
      <c r="E5" s="11" t="s">
        <v>15</v>
      </c>
      <c r="F5" s="11" t="s">
        <v>16</v>
      </c>
    </row>
    <row r="6" spans="1:6" x14ac:dyDescent="0.4">
      <c r="A6" s="10">
        <v>46034</v>
      </c>
      <c r="B6" s="11" t="s">
        <v>17</v>
      </c>
      <c r="C6" s="11"/>
      <c r="D6" s="10">
        <v>46247</v>
      </c>
      <c r="E6" s="11" t="s">
        <v>18</v>
      </c>
      <c r="F6" s="11"/>
    </row>
    <row r="7" spans="1:6" x14ac:dyDescent="0.4">
      <c r="A7" s="10">
        <v>46064</v>
      </c>
      <c r="B7" s="11" t="s">
        <v>19</v>
      </c>
      <c r="C7" s="11"/>
      <c r="D7" s="10">
        <v>46248</v>
      </c>
      <c r="E7" s="11" t="s">
        <v>18</v>
      </c>
      <c r="F7" s="11"/>
    </row>
    <row r="8" spans="1:6" x14ac:dyDescent="0.4">
      <c r="A8" s="10">
        <v>46076</v>
      </c>
      <c r="B8" s="11" t="s">
        <v>20</v>
      </c>
      <c r="C8" s="11"/>
      <c r="D8" s="10">
        <v>46249</v>
      </c>
      <c r="E8" s="11" t="s">
        <v>18</v>
      </c>
      <c r="F8" s="11"/>
    </row>
    <row r="9" spans="1:6" x14ac:dyDescent="0.4">
      <c r="A9" s="10">
        <v>46101</v>
      </c>
      <c r="B9" s="11" t="s">
        <v>21</v>
      </c>
      <c r="C9" s="11"/>
      <c r="D9" s="10">
        <v>46385</v>
      </c>
      <c r="E9" s="11" t="s">
        <v>22</v>
      </c>
      <c r="F9" s="11"/>
    </row>
    <row r="10" spans="1:6" x14ac:dyDescent="0.4">
      <c r="A10" s="10">
        <v>46141</v>
      </c>
      <c r="B10" s="11" t="s">
        <v>23</v>
      </c>
      <c r="C10" s="11"/>
      <c r="D10" s="10">
        <v>46386</v>
      </c>
      <c r="E10" s="11" t="s">
        <v>22</v>
      </c>
      <c r="F10" s="11"/>
    </row>
    <row r="11" spans="1:6" x14ac:dyDescent="0.4">
      <c r="A11" s="10">
        <v>46145</v>
      </c>
      <c r="B11" s="11" t="s">
        <v>24</v>
      </c>
      <c r="C11" s="11"/>
      <c r="D11" s="10">
        <v>46387</v>
      </c>
      <c r="E11" s="11" t="s">
        <v>22</v>
      </c>
      <c r="F11" s="11"/>
    </row>
    <row r="12" spans="1:6" x14ac:dyDescent="0.4">
      <c r="A12" s="10">
        <v>46146</v>
      </c>
      <c r="B12" s="11" t="s">
        <v>25</v>
      </c>
      <c r="C12" s="11"/>
      <c r="D12" s="10"/>
      <c r="E12" s="11"/>
      <c r="F12" s="11"/>
    </row>
    <row r="13" spans="1:6" x14ac:dyDescent="0.4">
      <c r="A13" s="10">
        <v>46147</v>
      </c>
      <c r="B13" s="11" t="s">
        <v>26</v>
      </c>
      <c r="C13" s="11"/>
      <c r="D13" s="10"/>
      <c r="E13" s="11"/>
      <c r="F13" s="11"/>
    </row>
    <row r="14" spans="1:6" x14ac:dyDescent="0.4">
      <c r="A14" s="10">
        <v>46148</v>
      </c>
      <c r="B14" s="11" t="s">
        <v>27</v>
      </c>
      <c r="C14" s="11"/>
      <c r="D14" s="10"/>
      <c r="E14" s="11"/>
      <c r="F14" s="11"/>
    </row>
    <row r="15" spans="1:6" x14ac:dyDescent="0.4">
      <c r="A15" s="10">
        <v>46223</v>
      </c>
      <c r="B15" s="11" t="s">
        <v>28</v>
      </c>
      <c r="C15" s="11"/>
      <c r="D15" s="10"/>
      <c r="E15" s="11"/>
      <c r="F15" s="11"/>
    </row>
    <row r="16" spans="1:6" x14ac:dyDescent="0.4">
      <c r="A16" s="10">
        <v>46245</v>
      </c>
      <c r="B16" s="11" t="s">
        <v>29</v>
      </c>
      <c r="C16" s="11"/>
      <c r="D16" s="10"/>
      <c r="E16" s="11"/>
      <c r="F16" s="11"/>
    </row>
    <row r="17" spans="1:6" x14ac:dyDescent="0.4">
      <c r="A17" s="10">
        <v>46286</v>
      </c>
      <c r="B17" s="11" t="s">
        <v>30</v>
      </c>
      <c r="C17" s="11"/>
      <c r="D17" s="10"/>
      <c r="E17" s="11"/>
      <c r="F17" s="11"/>
    </row>
    <row r="18" spans="1:6" x14ac:dyDescent="0.4">
      <c r="A18" s="10">
        <v>46287</v>
      </c>
      <c r="B18" s="11" t="s">
        <v>31</v>
      </c>
      <c r="C18" s="11"/>
      <c r="D18" s="10"/>
      <c r="E18" s="11"/>
      <c r="F18" s="11"/>
    </row>
    <row r="19" spans="1:6" x14ac:dyDescent="0.4">
      <c r="A19" s="10">
        <v>46288</v>
      </c>
      <c r="B19" s="11" t="s">
        <v>32</v>
      </c>
      <c r="C19" s="11"/>
      <c r="D19" s="10"/>
      <c r="E19" s="11"/>
      <c r="F19" s="11"/>
    </row>
    <row r="20" spans="1:6" x14ac:dyDescent="0.4">
      <c r="A20" s="10">
        <v>46307</v>
      </c>
      <c r="B20" s="11" t="s">
        <v>33</v>
      </c>
      <c r="C20" s="11"/>
      <c r="D20" s="10"/>
      <c r="E20" s="11"/>
      <c r="F20" s="11"/>
    </row>
    <row r="21" spans="1:6" x14ac:dyDescent="0.4">
      <c r="A21" s="10">
        <v>46329</v>
      </c>
      <c r="B21" s="11" t="s">
        <v>34</v>
      </c>
      <c r="C21" s="11"/>
      <c r="D21" s="10"/>
      <c r="E21" s="11"/>
      <c r="F21" s="11"/>
    </row>
    <row r="22" spans="1:6" x14ac:dyDescent="0.4">
      <c r="A22" s="10">
        <v>46349</v>
      </c>
      <c r="B22" s="11" t="s">
        <v>35</v>
      </c>
      <c r="C22" s="11"/>
      <c r="D22" s="10"/>
      <c r="E22" s="11"/>
      <c r="F22" s="11"/>
    </row>
    <row r="23" spans="1:6" x14ac:dyDescent="0.4">
      <c r="A23" s="10"/>
      <c r="B23" s="11"/>
      <c r="C23" s="11"/>
      <c r="D23" s="10"/>
      <c r="E23" s="11"/>
      <c r="F23" s="11"/>
    </row>
    <row r="24" spans="1:6" x14ac:dyDescent="0.4">
      <c r="A24" s="10"/>
      <c r="B24" s="11"/>
      <c r="C24" s="11"/>
      <c r="D24" s="10"/>
      <c r="E24" s="11"/>
      <c r="F24" s="11"/>
    </row>
    <row r="25" spans="1:6" x14ac:dyDescent="0.4">
      <c r="A25" s="10"/>
      <c r="B25" s="11"/>
      <c r="C25" s="11"/>
      <c r="D25" s="10"/>
      <c r="E25" s="11"/>
      <c r="F25" s="11"/>
    </row>
    <row r="26" spans="1:6" x14ac:dyDescent="0.4">
      <c r="A26" s="10"/>
      <c r="B26" s="11"/>
      <c r="C26" s="11"/>
      <c r="D26" s="10"/>
      <c r="E26" s="11"/>
      <c r="F26" s="11"/>
    </row>
    <row r="27" spans="1:6" x14ac:dyDescent="0.4">
      <c r="A27" s="10"/>
      <c r="B27" s="11"/>
      <c r="C27" s="11"/>
      <c r="D27" s="10"/>
      <c r="E27" s="11"/>
      <c r="F27" s="11"/>
    </row>
    <row r="28" spans="1:6" x14ac:dyDescent="0.4">
      <c r="A28" s="10"/>
      <c r="B28" s="11"/>
      <c r="C28" s="11"/>
      <c r="D28" s="10"/>
      <c r="E28" s="11"/>
      <c r="F28" s="11"/>
    </row>
    <row r="29" spans="1:6" x14ac:dyDescent="0.4">
      <c r="A29" s="10"/>
      <c r="B29" s="11"/>
      <c r="C29" s="11"/>
      <c r="D29" s="10"/>
      <c r="E29" s="11"/>
      <c r="F29" s="11"/>
    </row>
    <row r="30" spans="1:6" x14ac:dyDescent="0.4">
      <c r="A30" s="10"/>
      <c r="B30" s="11"/>
      <c r="C30" s="11"/>
      <c r="D30" s="10"/>
      <c r="E30" s="11"/>
      <c r="F30" s="11"/>
    </row>
    <row r="31" spans="1:6" x14ac:dyDescent="0.4">
      <c r="A31" s="10"/>
      <c r="B31" s="11"/>
      <c r="C31" s="11"/>
      <c r="D31" s="10"/>
      <c r="E31" s="11"/>
      <c r="F31" s="11"/>
    </row>
    <row r="32" spans="1:6" x14ac:dyDescent="0.4">
      <c r="A32" s="10"/>
      <c r="B32" s="11"/>
      <c r="C32" s="11"/>
      <c r="D32" s="10"/>
      <c r="E32" s="11"/>
      <c r="F32" s="11"/>
    </row>
    <row r="33" spans="1:6" x14ac:dyDescent="0.4">
      <c r="A33" s="10"/>
      <c r="B33" s="11"/>
      <c r="C33" s="11"/>
      <c r="D33" s="10"/>
      <c r="E33" s="11"/>
      <c r="F33" s="11"/>
    </row>
    <row r="34" spans="1:6" x14ac:dyDescent="0.4">
      <c r="A34" s="10"/>
      <c r="B34" s="11"/>
      <c r="C34" s="11"/>
      <c r="D34" s="10"/>
      <c r="E34" s="11"/>
      <c r="F34" s="11"/>
    </row>
    <row r="35" spans="1:6" x14ac:dyDescent="0.4">
      <c r="A35" s="10"/>
      <c r="B35" s="11"/>
      <c r="C35" s="11"/>
      <c r="D35" s="10"/>
      <c r="E35" s="11"/>
      <c r="F35" s="11"/>
    </row>
    <row r="36" spans="1:6" x14ac:dyDescent="0.4">
      <c r="A36" s="10"/>
      <c r="B36" s="11"/>
      <c r="C36" s="11"/>
      <c r="D36" s="10"/>
      <c r="E36" s="11"/>
      <c r="F36" s="11"/>
    </row>
    <row r="37" spans="1:6" x14ac:dyDescent="0.4">
      <c r="A37" s="10"/>
      <c r="B37" s="11"/>
      <c r="C37" s="11"/>
      <c r="D37" s="10"/>
      <c r="E37" s="11"/>
      <c r="F37" s="11"/>
    </row>
    <row r="38" spans="1:6" x14ac:dyDescent="0.4">
      <c r="A38" s="10"/>
      <c r="B38" s="11"/>
      <c r="C38" s="11"/>
      <c r="D38" s="10"/>
      <c r="E38" s="11"/>
      <c r="F38" s="11"/>
    </row>
    <row r="39" spans="1:6" x14ac:dyDescent="0.4">
      <c r="A39" s="10"/>
      <c r="B39" s="11"/>
      <c r="C39" s="11"/>
      <c r="D39" s="10"/>
      <c r="E39" s="11"/>
      <c r="F39" s="11"/>
    </row>
    <row r="40" spans="1:6" x14ac:dyDescent="0.4">
      <c r="A40" s="10"/>
      <c r="B40" s="11"/>
      <c r="C40" s="11"/>
      <c r="D40" s="10"/>
      <c r="E40" s="11"/>
      <c r="F40" s="11"/>
    </row>
    <row r="41" spans="1:6" x14ac:dyDescent="0.4">
      <c r="A41" s="10"/>
      <c r="B41" s="11"/>
      <c r="C41" s="11"/>
      <c r="D41" s="10"/>
      <c r="E41" s="11"/>
      <c r="F41" s="11"/>
    </row>
    <row r="42" spans="1:6" x14ac:dyDescent="0.4">
      <c r="A42" s="10"/>
      <c r="B42" s="11"/>
      <c r="C42" s="11"/>
      <c r="D42" s="10"/>
      <c r="E42" s="11"/>
      <c r="F42" s="11"/>
    </row>
    <row r="43" spans="1:6" x14ac:dyDescent="0.4">
      <c r="A43" s="10"/>
      <c r="B43" s="11"/>
      <c r="C43" s="11"/>
      <c r="D43" s="10"/>
      <c r="E43" s="11"/>
      <c r="F43" s="11"/>
    </row>
    <row r="44" spans="1:6" x14ac:dyDescent="0.4">
      <c r="A44" s="10"/>
      <c r="B44" s="11"/>
      <c r="C44" s="11"/>
      <c r="D44" s="10"/>
      <c r="E44" s="11"/>
      <c r="F44" s="11"/>
    </row>
    <row r="45" spans="1:6" x14ac:dyDescent="0.4">
      <c r="A45" s="10"/>
      <c r="B45" s="11"/>
      <c r="C45" s="11"/>
      <c r="D45" s="10"/>
      <c r="E45" s="11"/>
      <c r="F45" s="11"/>
    </row>
    <row r="46" spans="1:6" x14ac:dyDescent="0.4">
      <c r="A46" s="10"/>
      <c r="B46" s="11"/>
      <c r="C46" s="11"/>
      <c r="D46" s="10"/>
      <c r="E46" s="11"/>
      <c r="F46" s="11"/>
    </row>
    <row r="47" spans="1:6" x14ac:dyDescent="0.4">
      <c r="A47" s="10"/>
      <c r="B47" s="11"/>
      <c r="C47" s="11"/>
      <c r="D47" s="10"/>
      <c r="E47" s="11"/>
      <c r="F47" s="11"/>
    </row>
    <row r="48" spans="1:6" x14ac:dyDescent="0.4">
      <c r="A48" s="10"/>
      <c r="B48" s="11"/>
      <c r="C48" s="11"/>
      <c r="D48" s="10"/>
      <c r="E48" s="11"/>
      <c r="F48" s="11"/>
    </row>
    <row r="49" spans="1:6" x14ac:dyDescent="0.4">
      <c r="A49" s="10"/>
      <c r="B49" s="11"/>
      <c r="C49" s="11"/>
      <c r="D49" s="10"/>
      <c r="E49" s="11"/>
      <c r="F49" s="11"/>
    </row>
    <row r="50" spans="1:6" x14ac:dyDescent="0.4">
      <c r="A50" s="10"/>
      <c r="B50" s="11"/>
      <c r="C50" s="11"/>
      <c r="D50" s="10"/>
      <c r="E50" s="11"/>
      <c r="F50" s="11"/>
    </row>
    <row r="51" spans="1:6" x14ac:dyDescent="0.4">
      <c r="A51" s="10"/>
      <c r="B51" s="11"/>
      <c r="C51" s="11"/>
      <c r="D51" s="10"/>
      <c r="E51" s="11"/>
      <c r="F51" s="11"/>
    </row>
    <row r="52" spans="1:6" x14ac:dyDescent="0.4">
      <c r="A52" s="10"/>
      <c r="B52" s="11"/>
      <c r="C52" s="11"/>
      <c r="D52" s="10"/>
      <c r="E52" s="11"/>
      <c r="F52" s="11"/>
    </row>
    <row r="53" spans="1:6" x14ac:dyDescent="0.4">
      <c r="A53" s="10"/>
      <c r="B53" s="11"/>
      <c r="C53" s="11"/>
      <c r="D53" s="10"/>
      <c r="E53" s="11"/>
      <c r="F53" s="11"/>
    </row>
    <row r="54" spans="1:6" x14ac:dyDescent="0.4">
      <c r="A54" s="10"/>
      <c r="B54" s="11"/>
      <c r="C54" s="11"/>
      <c r="D54" s="10"/>
      <c r="E54" s="11"/>
      <c r="F54" s="11"/>
    </row>
    <row r="55" spans="1:6" x14ac:dyDescent="0.4">
      <c r="A55" s="10"/>
      <c r="B55" s="11"/>
      <c r="C55" s="11"/>
      <c r="D55" s="10"/>
      <c r="E55" s="11"/>
      <c r="F55" s="11"/>
    </row>
    <row r="56" spans="1:6" x14ac:dyDescent="0.4">
      <c r="A56" s="10"/>
      <c r="B56" s="11"/>
      <c r="C56" s="11"/>
      <c r="D56" s="10"/>
      <c r="E56" s="11"/>
      <c r="F56" s="11"/>
    </row>
    <row r="57" spans="1:6" x14ac:dyDescent="0.4">
      <c r="A57" s="10"/>
      <c r="B57" s="11"/>
      <c r="C57" s="11"/>
      <c r="D57" s="10"/>
      <c r="E57" s="11"/>
      <c r="F57" s="11"/>
    </row>
    <row r="58" spans="1:6" x14ac:dyDescent="0.4">
      <c r="A58" s="10"/>
      <c r="B58" s="11"/>
      <c r="C58" s="11"/>
      <c r="D58" s="10"/>
      <c r="E58" s="11"/>
      <c r="F58" s="11"/>
    </row>
    <row r="59" spans="1:6" x14ac:dyDescent="0.4">
      <c r="A59" s="10"/>
      <c r="B59" s="11"/>
      <c r="C59" s="11"/>
      <c r="D59" s="10"/>
      <c r="E59" s="11"/>
      <c r="F59" s="11"/>
    </row>
    <row r="60" spans="1:6" x14ac:dyDescent="0.4">
      <c r="A60" s="10"/>
      <c r="B60" s="11"/>
      <c r="C60" s="11"/>
      <c r="D60" s="10"/>
      <c r="E60" s="11"/>
      <c r="F60" s="11"/>
    </row>
    <row r="61" spans="1:6" x14ac:dyDescent="0.4">
      <c r="A61" s="10"/>
      <c r="B61" s="11"/>
      <c r="C61" s="11"/>
      <c r="D61" s="10"/>
      <c r="E61" s="11"/>
      <c r="F61" s="11"/>
    </row>
    <row r="62" spans="1:6" x14ac:dyDescent="0.4">
      <c r="A62" s="10"/>
      <c r="B62" s="11"/>
      <c r="C62" s="11"/>
      <c r="D62" s="10"/>
      <c r="E62" s="11"/>
      <c r="F62" s="11"/>
    </row>
    <row r="63" spans="1:6" x14ac:dyDescent="0.4">
      <c r="A63" s="10"/>
      <c r="B63" s="11"/>
      <c r="C63" s="11"/>
      <c r="D63" s="10"/>
      <c r="E63" s="11"/>
      <c r="F63" s="11"/>
    </row>
    <row r="64" spans="1:6" x14ac:dyDescent="0.4">
      <c r="A64" s="10"/>
      <c r="B64" s="11"/>
      <c r="C64" s="11"/>
      <c r="D64" s="10"/>
      <c r="E64" s="11"/>
      <c r="F64" s="11"/>
    </row>
    <row r="65" spans="1:6" x14ac:dyDescent="0.4">
      <c r="A65" s="10"/>
      <c r="B65" s="11"/>
      <c r="C65" s="11"/>
      <c r="D65" s="10"/>
      <c r="E65" s="11"/>
      <c r="F65" s="11"/>
    </row>
    <row r="66" spans="1:6" x14ac:dyDescent="0.4">
      <c r="A66" s="10"/>
      <c r="B66" s="11"/>
      <c r="C66" s="11"/>
      <c r="D66" s="10"/>
      <c r="E66" s="11"/>
      <c r="F66" s="11"/>
    </row>
    <row r="67" spans="1:6" x14ac:dyDescent="0.4">
      <c r="A67" s="10"/>
      <c r="B67" s="11"/>
      <c r="C67" s="11"/>
      <c r="D67" s="10"/>
      <c r="E67" s="11"/>
      <c r="F67" s="11"/>
    </row>
    <row r="68" spans="1:6" x14ac:dyDescent="0.4">
      <c r="A68" s="10"/>
      <c r="B68" s="11"/>
      <c r="C68" s="11"/>
      <c r="D68" s="10"/>
      <c r="E68" s="11"/>
      <c r="F68" s="11"/>
    </row>
    <row r="69" spans="1:6" x14ac:dyDescent="0.4">
      <c r="A69" s="10"/>
      <c r="B69" s="11"/>
      <c r="C69" s="11"/>
      <c r="D69" s="10"/>
      <c r="E69" s="11"/>
      <c r="F69" s="11"/>
    </row>
    <row r="70" spans="1:6" x14ac:dyDescent="0.4">
      <c r="A70" s="10"/>
      <c r="B70" s="11"/>
      <c r="C70" s="11"/>
      <c r="D70" s="10"/>
      <c r="E70" s="11"/>
      <c r="F70" s="11"/>
    </row>
    <row r="71" spans="1:6" x14ac:dyDescent="0.4">
      <c r="A71" s="10"/>
      <c r="B71" s="11"/>
      <c r="C71" s="11"/>
      <c r="D71" s="10"/>
      <c r="E71" s="11"/>
      <c r="F71" s="11"/>
    </row>
    <row r="72" spans="1:6" x14ac:dyDescent="0.4">
      <c r="A72" s="10"/>
      <c r="B72" s="11"/>
      <c r="C72" s="11"/>
      <c r="D72" s="10"/>
      <c r="E72" s="11"/>
      <c r="F72" s="11"/>
    </row>
    <row r="73" spans="1:6" x14ac:dyDescent="0.4">
      <c r="A73" s="10"/>
      <c r="B73" s="11"/>
      <c r="C73" s="11"/>
      <c r="D73" s="10"/>
      <c r="E73" s="11"/>
      <c r="F73" s="11"/>
    </row>
    <row r="74" spans="1:6" x14ac:dyDescent="0.4">
      <c r="A74" s="10"/>
      <c r="B74" s="11"/>
      <c r="C74" s="11"/>
      <c r="D74" s="10"/>
      <c r="E74" s="11"/>
      <c r="F74" s="11"/>
    </row>
    <row r="75" spans="1:6" x14ac:dyDescent="0.4">
      <c r="A75" s="10"/>
      <c r="B75" s="11"/>
      <c r="C75" s="11"/>
      <c r="D75" s="10"/>
      <c r="E75" s="11"/>
      <c r="F75" s="11"/>
    </row>
    <row r="76" spans="1:6" x14ac:dyDescent="0.4">
      <c r="A76" s="10"/>
      <c r="B76" s="11"/>
      <c r="C76" s="11"/>
      <c r="D76" s="10"/>
      <c r="E76" s="11"/>
      <c r="F76" s="11"/>
    </row>
    <row r="77" spans="1:6" x14ac:dyDescent="0.4">
      <c r="A77" s="10"/>
      <c r="B77" s="11"/>
      <c r="C77" s="11"/>
      <c r="D77" s="10"/>
      <c r="E77" s="11"/>
      <c r="F77" s="11"/>
    </row>
    <row r="78" spans="1:6" x14ac:dyDescent="0.4">
      <c r="A78" s="10"/>
      <c r="B78" s="11"/>
      <c r="C78" s="11"/>
      <c r="D78" s="10"/>
      <c r="E78" s="11"/>
      <c r="F78" s="11"/>
    </row>
    <row r="79" spans="1:6" x14ac:dyDescent="0.4">
      <c r="A79" s="10"/>
      <c r="B79" s="11"/>
      <c r="C79" s="11"/>
      <c r="D79" s="10"/>
      <c r="E79" s="11"/>
      <c r="F79" s="11"/>
    </row>
    <row r="80" spans="1:6" x14ac:dyDescent="0.4">
      <c r="A80" s="10"/>
      <c r="B80" s="11"/>
      <c r="C80" s="11"/>
      <c r="D80" s="10"/>
      <c r="E80" s="11"/>
      <c r="F80" s="11"/>
    </row>
  </sheetData>
  <mergeCells count="2">
    <mergeCell ref="A1:F1"/>
    <mergeCell ref="A2:F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勤務表</vt:lpstr>
      <vt:lpstr>休日設定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Taro Takimoto</dc:creator>
  <cp:lastModifiedBy>Taro Takimoto</cp:lastModifiedBy>
  <dcterms:created xsi:type="dcterms:W3CDTF">2026-05-31T01:47:46Z</dcterms:created>
  <dcterms:modified xsi:type="dcterms:W3CDTF">2026-05-31T01:47:48Z</dcterms:modified>
</cp:coreProperties>
</file>