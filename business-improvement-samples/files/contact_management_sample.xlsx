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\sns-15-sns-21-sns-x\outputs\business-samples\"/>
    </mc:Choice>
  </mc:AlternateContent>
  <xr:revisionPtr revIDLastSave="0" documentId="8_{79EEE6A4-3B66-460B-B664-845A8B7F432B}" xr6:coauthVersionLast="47" xr6:coauthVersionMax="47" xr10:uidLastSave="{00000000-0000-0000-0000-000000000000}"/>
  <bookViews>
    <workbookView xWindow="8850" yWindow="4380" windowWidth="13560" windowHeight="8340" xr2:uid="{AEE20770-B612-4353-97AA-8815CCF88D8C}"/>
  </bookViews>
  <sheets>
    <sheet name="集計" sheetId="2" r:id="rId1"/>
    <sheet name="問い合わせ管理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6" i="2"/>
  <c r="E5" i="2"/>
  <c r="B8" i="2"/>
  <c r="B7" i="2"/>
  <c r="B6" i="2"/>
  <c r="B5" i="2"/>
  <c r="K104" i="1"/>
  <c r="J104" i="1"/>
  <c r="A104" i="1"/>
  <c r="K103" i="1"/>
  <c r="J103" i="1"/>
  <c r="A103" i="1"/>
  <c r="K102" i="1"/>
  <c r="J102" i="1"/>
  <c r="A102" i="1"/>
  <c r="K101" i="1"/>
  <c r="J101" i="1"/>
  <c r="A101" i="1"/>
  <c r="K100" i="1"/>
  <c r="J100" i="1"/>
  <c r="A100" i="1"/>
  <c r="K99" i="1"/>
  <c r="J99" i="1"/>
  <c r="A99" i="1"/>
  <c r="K98" i="1"/>
  <c r="J98" i="1"/>
  <c r="A98" i="1"/>
  <c r="K97" i="1"/>
  <c r="J97" i="1"/>
  <c r="A97" i="1"/>
  <c r="K96" i="1"/>
  <c r="J96" i="1"/>
  <c r="A96" i="1"/>
  <c r="K95" i="1"/>
  <c r="J95" i="1"/>
  <c r="A95" i="1"/>
  <c r="K94" i="1"/>
  <c r="J94" i="1"/>
  <c r="A94" i="1"/>
  <c r="K93" i="1"/>
  <c r="J93" i="1"/>
  <c r="A93" i="1"/>
  <c r="K92" i="1"/>
  <c r="J92" i="1"/>
  <c r="A92" i="1"/>
  <c r="K91" i="1"/>
  <c r="J91" i="1"/>
  <c r="A91" i="1"/>
  <c r="K90" i="1"/>
  <c r="J90" i="1"/>
  <c r="A90" i="1"/>
  <c r="K89" i="1"/>
  <c r="J89" i="1"/>
  <c r="A89" i="1"/>
  <c r="K88" i="1"/>
  <c r="J88" i="1"/>
  <c r="A88" i="1"/>
  <c r="K87" i="1"/>
  <c r="J87" i="1"/>
  <c r="A87" i="1"/>
  <c r="K86" i="1"/>
  <c r="J86" i="1"/>
  <c r="A86" i="1"/>
  <c r="K85" i="1"/>
  <c r="J85" i="1"/>
  <c r="A85" i="1"/>
  <c r="K84" i="1"/>
  <c r="J84" i="1"/>
  <c r="A84" i="1"/>
  <c r="K83" i="1"/>
  <c r="J83" i="1"/>
  <c r="A83" i="1"/>
  <c r="K82" i="1"/>
  <c r="J82" i="1"/>
  <c r="A82" i="1"/>
  <c r="K81" i="1"/>
  <c r="J81" i="1"/>
  <c r="A81" i="1"/>
  <c r="K80" i="1"/>
  <c r="J80" i="1"/>
  <c r="A80" i="1"/>
  <c r="K79" i="1"/>
  <c r="J79" i="1"/>
  <c r="A79" i="1"/>
  <c r="K78" i="1"/>
  <c r="J78" i="1"/>
  <c r="A78" i="1"/>
  <c r="K77" i="1"/>
  <c r="J77" i="1"/>
  <c r="A77" i="1"/>
  <c r="K76" i="1"/>
  <c r="J76" i="1"/>
  <c r="A76" i="1"/>
  <c r="K75" i="1"/>
  <c r="J75" i="1"/>
  <c r="A75" i="1"/>
  <c r="K74" i="1"/>
  <c r="J74" i="1"/>
  <c r="A74" i="1"/>
  <c r="K73" i="1"/>
  <c r="J73" i="1"/>
  <c r="A73" i="1"/>
  <c r="K72" i="1"/>
  <c r="J72" i="1"/>
  <c r="A72" i="1"/>
  <c r="K71" i="1"/>
  <c r="J71" i="1"/>
  <c r="A71" i="1"/>
  <c r="K70" i="1"/>
  <c r="J70" i="1"/>
  <c r="A70" i="1"/>
  <c r="K69" i="1"/>
  <c r="J69" i="1"/>
  <c r="A69" i="1"/>
  <c r="K68" i="1"/>
  <c r="J68" i="1"/>
  <c r="A68" i="1"/>
  <c r="K67" i="1"/>
  <c r="J67" i="1"/>
  <c r="A67" i="1"/>
  <c r="K66" i="1"/>
  <c r="J66" i="1"/>
  <c r="A66" i="1"/>
  <c r="K65" i="1"/>
  <c r="J65" i="1"/>
  <c r="A65" i="1"/>
  <c r="K64" i="1"/>
  <c r="J64" i="1"/>
  <c r="A64" i="1"/>
  <c r="K63" i="1"/>
  <c r="J63" i="1"/>
  <c r="A63" i="1"/>
  <c r="K62" i="1"/>
  <c r="J62" i="1"/>
  <c r="A62" i="1"/>
  <c r="K61" i="1"/>
  <c r="J61" i="1"/>
  <c r="A61" i="1"/>
  <c r="K60" i="1"/>
  <c r="J60" i="1"/>
  <c r="A60" i="1"/>
  <c r="K59" i="1"/>
  <c r="J59" i="1"/>
  <c r="A59" i="1"/>
  <c r="K58" i="1"/>
  <c r="J58" i="1"/>
  <c r="A58" i="1"/>
  <c r="K57" i="1"/>
  <c r="J57" i="1"/>
  <c r="A57" i="1"/>
  <c r="K56" i="1"/>
  <c r="J56" i="1"/>
  <c r="A56" i="1"/>
  <c r="K55" i="1"/>
  <c r="J55" i="1"/>
  <c r="A55" i="1"/>
  <c r="K54" i="1"/>
  <c r="J54" i="1"/>
  <c r="A54" i="1"/>
  <c r="K53" i="1"/>
  <c r="J53" i="1"/>
  <c r="A53" i="1"/>
  <c r="K52" i="1"/>
  <c r="J52" i="1"/>
  <c r="A52" i="1"/>
  <c r="K51" i="1"/>
  <c r="J51" i="1"/>
  <c r="A51" i="1"/>
  <c r="K50" i="1"/>
  <c r="J50" i="1"/>
  <c r="A50" i="1"/>
  <c r="K49" i="1"/>
  <c r="J49" i="1"/>
  <c r="A49" i="1"/>
  <c r="K48" i="1"/>
  <c r="J48" i="1"/>
  <c r="A48" i="1"/>
  <c r="K47" i="1"/>
  <c r="J47" i="1"/>
  <c r="A47" i="1"/>
  <c r="K46" i="1"/>
  <c r="J46" i="1"/>
  <c r="A46" i="1"/>
  <c r="K45" i="1"/>
  <c r="J45" i="1"/>
  <c r="A45" i="1"/>
  <c r="K44" i="1"/>
  <c r="J44" i="1"/>
  <c r="A44" i="1"/>
  <c r="K43" i="1"/>
  <c r="J43" i="1"/>
  <c r="A43" i="1"/>
  <c r="K42" i="1"/>
  <c r="J42" i="1"/>
  <c r="A42" i="1"/>
  <c r="K41" i="1"/>
  <c r="J41" i="1"/>
  <c r="A41" i="1"/>
  <c r="K40" i="1"/>
  <c r="J40" i="1"/>
  <c r="A40" i="1"/>
  <c r="K39" i="1"/>
  <c r="J39" i="1"/>
  <c r="A39" i="1"/>
  <c r="K38" i="1"/>
  <c r="J38" i="1"/>
  <c r="A38" i="1"/>
  <c r="K37" i="1"/>
  <c r="J37" i="1"/>
  <c r="A37" i="1"/>
  <c r="K36" i="1"/>
  <c r="J36" i="1"/>
  <c r="A36" i="1"/>
  <c r="K35" i="1"/>
  <c r="J35" i="1"/>
  <c r="A35" i="1"/>
  <c r="K34" i="1"/>
  <c r="J34" i="1"/>
  <c r="A34" i="1"/>
  <c r="K33" i="1"/>
  <c r="J33" i="1"/>
  <c r="A33" i="1"/>
  <c r="K32" i="1"/>
  <c r="J32" i="1"/>
  <c r="A32" i="1"/>
  <c r="K31" i="1"/>
  <c r="J31" i="1"/>
  <c r="A31" i="1"/>
  <c r="K30" i="1"/>
  <c r="J30" i="1"/>
  <c r="A30" i="1"/>
  <c r="K29" i="1"/>
  <c r="J29" i="1"/>
  <c r="A29" i="1"/>
  <c r="K28" i="1"/>
  <c r="J28" i="1"/>
  <c r="A28" i="1"/>
  <c r="K27" i="1"/>
  <c r="J27" i="1"/>
  <c r="A27" i="1"/>
  <c r="K26" i="1"/>
  <c r="J26" i="1"/>
  <c r="A26" i="1"/>
  <c r="K25" i="1"/>
  <c r="J25" i="1"/>
  <c r="A25" i="1"/>
  <c r="K24" i="1"/>
  <c r="J24" i="1"/>
  <c r="A24" i="1"/>
  <c r="K23" i="1"/>
  <c r="J23" i="1"/>
  <c r="A23" i="1"/>
  <c r="K22" i="1"/>
  <c r="J22" i="1"/>
  <c r="A22" i="1"/>
  <c r="K21" i="1"/>
  <c r="J21" i="1"/>
  <c r="A21" i="1"/>
  <c r="K20" i="1"/>
  <c r="J20" i="1"/>
  <c r="A20" i="1"/>
  <c r="K19" i="1"/>
  <c r="J19" i="1"/>
  <c r="A19" i="1"/>
  <c r="K18" i="1"/>
  <c r="J18" i="1"/>
  <c r="A18" i="1"/>
  <c r="K17" i="1"/>
  <c r="J17" i="1"/>
  <c r="A17" i="1"/>
  <c r="K16" i="1"/>
  <c r="J16" i="1"/>
  <c r="A16" i="1"/>
  <c r="K15" i="1"/>
  <c r="J15" i="1"/>
  <c r="A15" i="1"/>
  <c r="K14" i="1"/>
  <c r="J14" i="1"/>
  <c r="A14" i="1"/>
  <c r="K13" i="1"/>
  <c r="J13" i="1"/>
  <c r="A13" i="1"/>
  <c r="K12" i="1"/>
  <c r="J12" i="1"/>
  <c r="A12" i="1"/>
  <c r="K11" i="1"/>
  <c r="J11" i="1"/>
  <c r="A11" i="1"/>
  <c r="K10" i="1"/>
  <c r="J10" i="1"/>
  <c r="A10" i="1"/>
  <c r="K9" i="1"/>
  <c r="J9" i="1"/>
  <c r="K8" i="1"/>
  <c r="J8" i="1"/>
  <c r="K7" i="1"/>
  <c r="J7" i="1"/>
  <c r="K6" i="1"/>
  <c r="J6" i="1"/>
  <c r="K5" i="1"/>
  <c r="B9" i="2" s="1"/>
  <c r="J5" i="1"/>
</calcChain>
</file>

<file path=xl/sharedStrings.xml><?xml version="1.0" encoding="utf-8"?>
<sst xmlns="http://schemas.openxmlformats.org/spreadsheetml/2006/main" count="63" uniqueCount="46">
  <si>
    <t>問い合わせ管理表サンプル</t>
  </si>
  <si>
    <t>問い合わせ対応の漏れ・優先順位・次回対応日を1枚で管理するサンプルです。</t>
  </si>
  <si>
    <t>No</t>
  </si>
  <si>
    <t>問い合わせ日</t>
  </si>
  <si>
    <t>会社名/氏名</t>
  </si>
  <si>
    <t>区分</t>
  </si>
  <si>
    <t>問い合わせ内容</t>
  </si>
  <si>
    <t>優先度</t>
  </si>
  <si>
    <t>対応状況</t>
  </si>
  <si>
    <t>担当</t>
  </si>
  <si>
    <t>次回対応日</t>
  </si>
  <si>
    <t>経過日数</t>
  </si>
  <si>
    <t>期限アラート</t>
  </si>
  <si>
    <t>メモ</t>
  </si>
  <si>
    <t>山田商店</t>
  </si>
  <si>
    <t>新規相談</t>
  </si>
  <si>
    <t>Webサイトの料金表を更新したい</t>
  </si>
  <si>
    <t>高</t>
  </si>
  <si>
    <t>対応中</t>
  </si>
  <si>
    <t>太郎</t>
  </si>
  <si>
    <t>画像差し替えも確認</t>
  </si>
  <si>
    <t>佐藤整体院</t>
  </si>
  <si>
    <t>見積依頼</t>
  </si>
  <si>
    <t>予約フォームと問い合わせ導線を改善したい</t>
  </si>
  <si>
    <t>中</t>
  </si>
  <si>
    <t>未対応</t>
  </si>
  <si>
    <t>スマホ表示も確認</t>
  </si>
  <si>
    <t>ABC製作所</t>
  </si>
  <si>
    <t>相談</t>
  </si>
  <si>
    <t>Excelの受注管理表を見やすくしたい</t>
  </si>
  <si>
    <t>集計表の作成相談</t>
  </si>
  <si>
    <t>田中ピアノ教室</t>
  </si>
  <si>
    <t>更新依頼</t>
  </si>
  <si>
    <t>お知らせと料金表を更新したい</t>
  </si>
  <si>
    <t>低</t>
  </si>
  <si>
    <t>完了</t>
  </si>
  <si>
    <t>公開確認済み</t>
  </si>
  <si>
    <t>横浜工業</t>
  </si>
  <si>
    <t>問い合わせ内容をExcelで管理したい</t>
  </si>
  <si>
    <t>テンプレ提案予定</t>
  </si>
  <si>
    <t>問い合わせ集計</t>
  </si>
  <si>
    <t>対応状況と優先度を簡単に見える化します。</t>
  </si>
  <si>
    <t>指標</t>
  </si>
  <si>
    <t>件数</t>
  </si>
  <si>
    <t>確認待ち</t>
  </si>
  <si>
    <t>期限超過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</si>
</sst>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/dd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666666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204060"/>
        <bgColor indexed="64"/>
      </patternFill>
    </fill>
    <fill>
      <patternFill patternType="solid">
        <fgColor rgb="FFE7EEF3"/>
        <bgColor indexed="64"/>
      </patternFill>
    </fill>
    <fill>
      <patternFill patternType="solid">
        <fgColor rgb="FF164E6B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CDE5F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79" fontId="3" fillId="0" borderId="1" xfId="0" applyNumberFormat="1" applyFont="1" applyBorder="1">
      <alignment vertical="center"/>
    </xf>
    <xf numFmtId="1" fontId="3" fillId="0" borderId="1" xfId="0" applyNumberFormat="1" applyFont="1" applyBorder="1">
      <alignment vertical="center"/>
    </xf>
    <xf numFmtId="0" fontId="6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</cellXfs>
  <cellStyles count="1">
    <cellStyle name="標準" xfId="0" builtinId="0"/>
  </cellStyles>
  <dxfs count="3">
    <dxf>
      <font>
        <color rgb="FF1D7638"/>
      </font>
      <fill>
        <patternFill>
          <bgColor rgb="FFD3EAD9"/>
        </patternFill>
      </fill>
    </dxf>
    <dxf>
      <font>
        <color rgb="FF004080"/>
      </font>
      <fill>
        <patternFill>
          <bgColor rgb="FFFFFFCC"/>
        </patternFill>
      </fill>
    </dxf>
    <dxf>
      <font>
        <color rgb="FFC00000"/>
      </font>
      <fill>
        <patternFill>
          <bgColor rgb="FFFFE1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4FA0-DA8B-46B5-8C83-2E8AB8E2F64E}">
  <dimension ref="A1:F9"/>
  <sheetViews>
    <sheetView tabSelected="1" workbookViewId="0">
      <pane ySplit="4" topLeftCell="A5" activePane="bottomLeft" state="frozenSplit"/>
      <selection pane="bottomLeft"/>
    </sheetView>
  </sheetViews>
  <sheetFormatPr defaultRowHeight="15.75" x14ac:dyDescent="0.4"/>
  <cols>
    <col min="1" max="1" width="9.25" style="3" bestFit="1" customWidth="1"/>
    <col min="2" max="2" width="5.5" style="3" bestFit="1" customWidth="1"/>
    <col min="3" max="3" width="9" style="3"/>
    <col min="4" max="4" width="7.375" style="3" bestFit="1" customWidth="1"/>
    <col min="5" max="5" width="5.5" style="3" bestFit="1" customWidth="1"/>
    <col min="6" max="16384" width="9" style="3"/>
  </cols>
  <sheetData>
    <row r="1" spans="1:6" ht="27.95" customHeight="1" x14ac:dyDescent="0.4">
      <c r="A1" s="1" t="s">
        <v>40</v>
      </c>
      <c r="B1" s="2"/>
      <c r="C1" s="2"/>
      <c r="D1" s="2"/>
      <c r="E1" s="2"/>
      <c r="F1" s="2"/>
    </row>
    <row r="2" spans="1:6" ht="24" customHeight="1" x14ac:dyDescent="0.4">
      <c r="A2" s="4" t="s">
        <v>41</v>
      </c>
      <c r="B2" s="5"/>
      <c r="C2" s="5"/>
      <c r="D2" s="5"/>
      <c r="E2" s="5"/>
      <c r="F2" s="5"/>
    </row>
    <row r="4" spans="1:6" x14ac:dyDescent="0.4">
      <c r="A4" s="10" t="s">
        <v>42</v>
      </c>
      <c r="B4" s="10" t="s">
        <v>43</v>
      </c>
      <c r="D4" s="11" t="s">
        <v>7</v>
      </c>
      <c r="E4" s="11" t="s">
        <v>43</v>
      </c>
    </row>
    <row r="5" spans="1:6" x14ac:dyDescent="0.4">
      <c r="A5" s="7" t="s">
        <v>25</v>
      </c>
      <c r="B5" s="7">
        <f>COUNTIF(問い合わせ管理!G:G,A5)</f>
        <v>2</v>
      </c>
      <c r="D5" s="7" t="s">
        <v>17</v>
      </c>
      <c r="E5" s="7">
        <f>COUNTIF(問い合わせ管理!F:F,D5)</f>
        <v>2</v>
      </c>
    </row>
    <row r="6" spans="1:6" x14ac:dyDescent="0.4">
      <c r="A6" s="7" t="s">
        <v>18</v>
      </c>
      <c r="B6" s="7">
        <f>COUNTIF(問い合わせ管理!G:G,A6)</f>
        <v>2</v>
      </c>
      <c r="D6" s="7" t="s">
        <v>24</v>
      </c>
      <c r="E6" s="7">
        <f>COUNTIF(問い合わせ管理!F:F,D6)</f>
        <v>2</v>
      </c>
    </row>
    <row r="7" spans="1:6" x14ac:dyDescent="0.4">
      <c r="A7" s="7" t="s">
        <v>44</v>
      </c>
      <c r="B7" s="7">
        <f>COUNTIF(問い合わせ管理!G:G,A7)</f>
        <v>0</v>
      </c>
      <c r="D7" s="7" t="s">
        <v>34</v>
      </c>
      <c r="E7" s="7">
        <f>COUNTIF(問い合わせ管理!F:F,D7)</f>
        <v>1</v>
      </c>
    </row>
    <row r="8" spans="1:6" x14ac:dyDescent="0.4">
      <c r="A8" s="7" t="s">
        <v>35</v>
      </c>
      <c r="B8" s="7">
        <f>COUNTIF(問い合わせ管理!G:G,A8)</f>
        <v>1</v>
      </c>
    </row>
    <row r="9" spans="1:6" x14ac:dyDescent="0.4">
      <c r="A9" s="7" t="s">
        <v>45</v>
      </c>
      <c r="B9" s="7">
        <f ca="1">COUNTIF(問い合わせ管理!K:K,A9)</f>
        <v>1</v>
      </c>
    </row>
  </sheetData>
  <mergeCells count="2">
    <mergeCell ref="A1:F1"/>
    <mergeCell ref="A2:F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91FA-9933-4D68-A197-469DCAA0C322}">
  <dimension ref="A1:L104"/>
  <sheetViews>
    <sheetView workbookViewId="0"/>
  </sheetViews>
  <sheetFormatPr defaultRowHeight="15.75" x14ac:dyDescent="0.4"/>
  <cols>
    <col min="1" max="1" width="5.125" style="3" bestFit="1" customWidth="1"/>
    <col min="2" max="2" width="12.75" style="3" bestFit="1" customWidth="1"/>
    <col min="3" max="3" width="13.625" style="3" bestFit="1" customWidth="1"/>
    <col min="4" max="4" width="9.25" style="3" bestFit="1" customWidth="1"/>
    <col min="5" max="5" width="36.5" style="3" bestFit="1" customWidth="1"/>
    <col min="6" max="6" width="7.375" style="3" bestFit="1" customWidth="1"/>
    <col min="7" max="7" width="9.25" style="3" bestFit="1" customWidth="1"/>
    <col min="8" max="8" width="5.5" style="3" bestFit="1" customWidth="1"/>
    <col min="9" max="9" width="12.75" style="3" bestFit="1" customWidth="1"/>
    <col min="10" max="10" width="9.25" style="3" bestFit="1" customWidth="1"/>
    <col min="11" max="11" width="11.625" style="3" bestFit="1" customWidth="1"/>
    <col min="12" max="12" width="18" style="3" bestFit="1" customWidth="1"/>
    <col min="13" max="16384" width="9" style="3"/>
  </cols>
  <sheetData>
    <row r="1" spans="1:12" ht="27.9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4" customHeight="1" x14ac:dyDescent="0.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x14ac:dyDescent="0.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spans="1:12" x14ac:dyDescent="0.4">
      <c r="A5" s="7">
        <v>1</v>
      </c>
      <c r="B5" s="8">
        <v>46166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8">
        <v>46173</v>
      </c>
      <c r="J5" s="9">
        <f ca="1">IF(B5="","",TODAY()-B5)</f>
        <v>7</v>
      </c>
      <c r="K5" s="7" t="str">
        <f ca="1">IF(G5="完了","完了",IF(I5&lt;TODAY(),"期限超過",IF(I5&lt;=TODAY()+1,"要対応","予定内")))</f>
        <v>要対応</v>
      </c>
      <c r="L5" s="7" t="s">
        <v>20</v>
      </c>
    </row>
    <row r="6" spans="1:12" x14ac:dyDescent="0.4">
      <c r="A6" s="7">
        <v>2</v>
      </c>
      <c r="B6" s="8">
        <v>46167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19</v>
      </c>
      <c r="I6" s="8">
        <v>46174</v>
      </c>
      <c r="J6" s="9">
        <f ca="1">IF(B6="","",TODAY()-B6)</f>
        <v>6</v>
      </c>
      <c r="K6" s="7" t="str">
        <f ca="1">IF(G6="完了","完了",IF(I6&lt;TODAY(),"期限超過",IF(I6&lt;=TODAY()+1,"要対応","予定内")))</f>
        <v>要対応</v>
      </c>
      <c r="L6" s="7" t="s">
        <v>26</v>
      </c>
    </row>
    <row r="7" spans="1:12" x14ac:dyDescent="0.4">
      <c r="A7" s="7">
        <v>3</v>
      </c>
      <c r="B7" s="8">
        <v>46168</v>
      </c>
      <c r="C7" s="7" t="s">
        <v>27</v>
      </c>
      <c r="D7" s="7" t="s">
        <v>28</v>
      </c>
      <c r="E7" s="7" t="s">
        <v>29</v>
      </c>
      <c r="F7" s="7" t="s">
        <v>17</v>
      </c>
      <c r="G7" s="7" t="s">
        <v>18</v>
      </c>
      <c r="H7" s="7" t="s">
        <v>19</v>
      </c>
      <c r="I7" s="8">
        <v>46172</v>
      </c>
      <c r="J7" s="9">
        <f ca="1">IF(B7="","",TODAY()-B7)</f>
        <v>5</v>
      </c>
      <c r="K7" s="7" t="str">
        <f ca="1">IF(G7="完了","完了",IF(I7&lt;TODAY(),"期限超過",IF(I7&lt;=TODAY()+1,"要対応","予定内")))</f>
        <v>期限超過</v>
      </c>
      <c r="L7" s="7" t="s">
        <v>30</v>
      </c>
    </row>
    <row r="8" spans="1:12" x14ac:dyDescent="0.4">
      <c r="A8" s="7">
        <v>4</v>
      </c>
      <c r="B8" s="8">
        <v>46169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19</v>
      </c>
      <c r="I8" s="8">
        <v>46170</v>
      </c>
      <c r="J8" s="9">
        <f ca="1">IF(B8="","",TODAY()-B8)</f>
        <v>4</v>
      </c>
      <c r="K8" s="7" t="str">
        <f ca="1">IF(G8="完了","完了",IF(I8&lt;TODAY(),"期限超過",IF(I8&lt;=TODAY()+1,"要対応","予定内")))</f>
        <v>完了</v>
      </c>
      <c r="L8" s="7" t="s">
        <v>36</v>
      </c>
    </row>
    <row r="9" spans="1:12" x14ac:dyDescent="0.4">
      <c r="A9" s="7">
        <v>5</v>
      </c>
      <c r="B9" s="8">
        <v>46170</v>
      </c>
      <c r="C9" s="7" t="s">
        <v>37</v>
      </c>
      <c r="D9" s="7" t="s">
        <v>15</v>
      </c>
      <c r="E9" s="7" t="s">
        <v>38</v>
      </c>
      <c r="F9" s="7" t="s">
        <v>24</v>
      </c>
      <c r="G9" s="7" t="s">
        <v>25</v>
      </c>
      <c r="H9" s="7" t="s">
        <v>19</v>
      </c>
      <c r="I9" s="8">
        <v>46176</v>
      </c>
      <c r="J9" s="9">
        <f ca="1">IF(B9="","",TODAY()-B9)</f>
        <v>3</v>
      </c>
      <c r="K9" s="7" t="str">
        <f ca="1">IF(G9="完了","完了",IF(I9&lt;TODAY(),"期限超過",IF(I9&lt;=TODAY()+1,"要対応","予定内")))</f>
        <v>予定内</v>
      </c>
      <c r="L9" s="7" t="s">
        <v>39</v>
      </c>
    </row>
    <row r="10" spans="1:12" x14ac:dyDescent="0.4">
      <c r="A10" s="7">
        <f>ROW()-4</f>
        <v>6</v>
      </c>
      <c r="B10" s="8"/>
      <c r="C10" s="7"/>
      <c r="D10" s="7"/>
      <c r="E10" s="7"/>
      <c r="F10" s="7"/>
      <c r="G10" s="7"/>
      <c r="H10" s="7"/>
      <c r="I10" s="8"/>
      <c r="J10" s="9" t="str">
        <f ca="1">IF(B10="","",TODAY()-B10)</f>
        <v/>
      </c>
      <c r="K10" s="7" t="str">
        <f ca="1">IF(G10="完了","完了",IF(I10="","",IF(I10&lt;TODAY(),"期限超過",IF(I10&lt;=TODAY()+1,"要対応","予定内"))))</f>
        <v/>
      </c>
      <c r="L10" s="7"/>
    </row>
    <row r="11" spans="1:12" x14ac:dyDescent="0.4">
      <c r="A11" s="7">
        <f>ROW()-4</f>
        <v>7</v>
      </c>
      <c r="B11" s="8"/>
      <c r="C11" s="7"/>
      <c r="D11" s="7"/>
      <c r="E11" s="7"/>
      <c r="F11" s="7"/>
      <c r="G11" s="7"/>
      <c r="H11" s="7"/>
      <c r="I11" s="8"/>
      <c r="J11" s="9" t="str">
        <f ca="1">IF(B11="","",TODAY()-B11)</f>
        <v/>
      </c>
      <c r="K11" s="7" t="str">
        <f ca="1">IF(G11="完了","完了",IF(I11="","",IF(I11&lt;TODAY(),"期限超過",IF(I11&lt;=TODAY()+1,"要対応","予定内"))))</f>
        <v/>
      </c>
      <c r="L11" s="7"/>
    </row>
    <row r="12" spans="1:12" x14ac:dyDescent="0.4">
      <c r="A12" s="7">
        <f>ROW()-4</f>
        <v>8</v>
      </c>
      <c r="B12" s="8"/>
      <c r="C12" s="7"/>
      <c r="D12" s="7"/>
      <c r="E12" s="7"/>
      <c r="F12" s="7"/>
      <c r="G12" s="7"/>
      <c r="H12" s="7"/>
      <c r="I12" s="8"/>
      <c r="J12" s="9" t="str">
        <f ca="1">IF(B12="","",TODAY()-B12)</f>
        <v/>
      </c>
      <c r="K12" s="7" t="str">
        <f ca="1">IF(G12="完了","完了",IF(I12="","",IF(I12&lt;TODAY(),"期限超過",IF(I12&lt;=TODAY()+1,"要対応","予定内"))))</f>
        <v/>
      </c>
      <c r="L12" s="7"/>
    </row>
    <row r="13" spans="1:12" x14ac:dyDescent="0.4">
      <c r="A13" s="7">
        <f>ROW()-4</f>
        <v>9</v>
      </c>
      <c r="B13" s="8"/>
      <c r="C13" s="7"/>
      <c r="D13" s="7"/>
      <c r="E13" s="7"/>
      <c r="F13" s="7"/>
      <c r="G13" s="7"/>
      <c r="H13" s="7"/>
      <c r="I13" s="8"/>
      <c r="J13" s="9" t="str">
        <f ca="1">IF(B13="","",TODAY()-B13)</f>
        <v/>
      </c>
      <c r="K13" s="7" t="str">
        <f ca="1">IF(G13="完了","完了",IF(I13="","",IF(I13&lt;TODAY(),"期限超過",IF(I13&lt;=TODAY()+1,"要対応","予定内"))))</f>
        <v/>
      </c>
      <c r="L13" s="7"/>
    </row>
    <row r="14" spans="1:12" x14ac:dyDescent="0.4">
      <c r="A14" s="7">
        <f>ROW()-4</f>
        <v>10</v>
      </c>
      <c r="B14" s="8"/>
      <c r="C14" s="7"/>
      <c r="D14" s="7"/>
      <c r="E14" s="7"/>
      <c r="F14" s="7"/>
      <c r="G14" s="7"/>
      <c r="H14" s="7"/>
      <c r="I14" s="8"/>
      <c r="J14" s="9" t="str">
        <f ca="1">IF(B14="","",TODAY()-B14)</f>
        <v/>
      </c>
      <c r="K14" s="7" t="str">
        <f ca="1">IF(G14="完了","完了",IF(I14="","",IF(I14&lt;TODAY(),"期限超過",IF(I14&lt;=TODAY()+1,"要対応","予定内"))))</f>
        <v/>
      </c>
      <c r="L14" s="7"/>
    </row>
    <row r="15" spans="1:12" x14ac:dyDescent="0.4">
      <c r="A15" s="7">
        <f>ROW()-4</f>
        <v>11</v>
      </c>
      <c r="B15" s="8"/>
      <c r="C15" s="7"/>
      <c r="D15" s="7"/>
      <c r="E15" s="7"/>
      <c r="F15" s="7"/>
      <c r="G15" s="7"/>
      <c r="H15" s="7"/>
      <c r="I15" s="8"/>
      <c r="J15" s="9" t="str">
        <f ca="1">IF(B15="","",TODAY()-B15)</f>
        <v/>
      </c>
      <c r="K15" s="7" t="str">
        <f ca="1">IF(G15="完了","完了",IF(I15="","",IF(I15&lt;TODAY(),"期限超過",IF(I15&lt;=TODAY()+1,"要対応","予定内"))))</f>
        <v/>
      </c>
      <c r="L15" s="7"/>
    </row>
    <row r="16" spans="1:12" x14ac:dyDescent="0.4">
      <c r="A16" s="7">
        <f>ROW()-4</f>
        <v>12</v>
      </c>
      <c r="B16" s="8"/>
      <c r="C16" s="7"/>
      <c r="D16" s="7"/>
      <c r="E16" s="7"/>
      <c r="F16" s="7"/>
      <c r="G16" s="7"/>
      <c r="H16" s="7"/>
      <c r="I16" s="8"/>
      <c r="J16" s="9" t="str">
        <f ca="1">IF(B16="","",TODAY()-B16)</f>
        <v/>
      </c>
      <c r="K16" s="7" t="str">
        <f ca="1">IF(G16="完了","完了",IF(I16="","",IF(I16&lt;TODAY(),"期限超過",IF(I16&lt;=TODAY()+1,"要対応","予定内"))))</f>
        <v/>
      </c>
      <c r="L16" s="7"/>
    </row>
    <row r="17" spans="1:12" x14ac:dyDescent="0.4">
      <c r="A17" s="7">
        <f>ROW()-4</f>
        <v>13</v>
      </c>
      <c r="B17" s="8"/>
      <c r="C17" s="7"/>
      <c r="D17" s="7"/>
      <c r="E17" s="7"/>
      <c r="F17" s="7"/>
      <c r="G17" s="7"/>
      <c r="H17" s="7"/>
      <c r="I17" s="8"/>
      <c r="J17" s="9" t="str">
        <f ca="1">IF(B17="","",TODAY()-B17)</f>
        <v/>
      </c>
      <c r="K17" s="7" t="str">
        <f ca="1">IF(G17="完了","完了",IF(I17="","",IF(I17&lt;TODAY(),"期限超過",IF(I17&lt;=TODAY()+1,"要対応","予定内"))))</f>
        <v/>
      </c>
      <c r="L17" s="7"/>
    </row>
    <row r="18" spans="1:12" x14ac:dyDescent="0.4">
      <c r="A18" s="7">
        <f>ROW()-4</f>
        <v>14</v>
      </c>
      <c r="B18" s="8"/>
      <c r="C18" s="7"/>
      <c r="D18" s="7"/>
      <c r="E18" s="7"/>
      <c r="F18" s="7"/>
      <c r="G18" s="7"/>
      <c r="H18" s="7"/>
      <c r="I18" s="8"/>
      <c r="J18" s="9" t="str">
        <f ca="1">IF(B18="","",TODAY()-B18)</f>
        <v/>
      </c>
      <c r="K18" s="7" t="str">
        <f ca="1">IF(G18="完了","完了",IF(I18="","",IF(I18&lt;TODAY(),"期限超過",IF(I18&lt;=TODAY()+1,"要対応","予定内"))))</f>
        <v/>
      </c>
      <c r="L18" s="7"/>
    </row>
    <row r="19" spans="1:12" x14ac:dyDescent="0.4">
      <c r="A19" s="7">
        <f>ROW()-4</f>
        <v>15</v>
      </c>
      <c r="B19" s="8"/>
      <c r="C19" s="7"/>
      <c r="D19" s="7"/>
      <c r="E19" s="7"/>
      <c r="F19" s="7"/>
      <c r="G19" s="7"/>
      <c r="H19" s="7"/>
      <c r="I19" s="8"/>
      <c r="J19" s="9" t="str">
        <f ca="1">IF(B19="","",TODAY()-B19)</f>
        <v/>
      </c>
      <c r="K19" s="7" t="str">
        <f ca="1">IF(G19="完了","完了",IF(I19="","",IF(I19&lt;TODAY(),"期限超過",IF(I19&lt;=TODAY()+1,"要対応","予定内"))))</f>
        <v/>
      </c>
      <c r="L19" s="7"/>
    </row>
    <row r="20" spans="1:12" x14ac:dyDescent="0.4">
      <c r="A20" s="7">
        <f>ROW()-4</f>
        <v>16</v>
      </c>
      <c r="B20" s="8"/>
      <c r="C20" s="7"/>
      <c r="D20" s="7"/>
      <c r="E20" s="7"/>
      <c r="F20" s="7"/>
      <c r="G20" s="7"/>
      <c r="H20" s="7"/>
      <c r="I20" s="8"/>
      <c r="J20" s="9" t="str">
        <f ca="1">IF(B20="","",TODAY()-B20)</f>
        <v/>
      </c>
      <c r="K20" s="7" t="str">
        <f ca="1">IF(G20="完了","完了",IF(I20="","",IF(I20&lt;TODAY(),"期限超過",IF(I20&lt;=TODAY()+1,"要対応","予定内"))))</f>
        <v/>
      </c>
      <c r="L20" s="7"/>
    </row>
    <row r="21" spans="1:12" x14ac:dyDescent="0.4">
      <c r="A21" s="7">
        <f>ROW()-4</f>
        <v>17</v>
      </c>
      <c r="B21" s="8"/>
      <c r="C21" s="7"/>
      <c r="D21" s="7"/>
      <c r="E21" s="7"/>
      <c r="F21" s="7"/>
      <c r="G21" s="7"/>
      <c r="H21" s="7"/>
      <c r="I21" s="8"/>
      <c r="J21" s="9" t="str">
        <f ca="1">IF(B21="","",TODAY()-B21)</f>
        <v/>
      </c>
      <c r="K21" s="7" t="str">
        <f ca="1">IF(G21="完了","完了",IF(I21="","",IF(I21&lt;TODAY(),"期限超過",IF(I21&lt;=TODAY()+1,"要対応","予定内"))))</f>
        <v/>
      </c>
      <c r="L21" s="7"/>
    </row>
    <row r="22" spans="1:12" x14ac:dyDescent="0.4">
      <c r="A22" s="7">
        <f>ROW()-4</f>
        <v>18</v>
      </c>
      <c r="B22" s="8"/>
      <c r="C22" s="7"/>
      <c r="D22" s="7"/>
      <c r="E22" s="7"/>
      <c r="F22" s="7"/>
      <c r="G22" s="7"/>
      <c r="H22" s="7"/>
      <c r="I22" s="8"/>
      <c r="J22" s="9" t="str">
        <f ca="1">IF(B22="","",TODAY()-B22)</f>
        <v/>
      </c>
      <c r="K22" s="7" t="str">
        <f ca="1">IF(G22="完了","完了",IF(I22="","",IF(I22&lt;TODAY(),"期限超過",IF(I22&lt;=TODAY()+1,"要対応","予定内"))))</f>
        <v/>
      </c>
      <c r="L22" s="7"/>
    </row>
    <row r="23" spans="1:12" x14ac:dyDescent="0.4">
      <c r="A23" s="7">
        <f>ROW()-4</f>
        <v>19</v>
      </c>
      <c r="B23" s="8"/>
      <c r="C23" s="7"/>
      <c r="D23" s="7"/>
      <c r="E23" s="7"/>
      <c r="F23" s="7"/>
      <c r="G23" s="7"/>
      <c r="H23" s="7"/>
      <c r="I23" s="8"/>
      <c r="J23" s="9" t="str">
        <f ca="1">IF(B23="","",TODAY()-B23)</f>
        <v/>
      </c>
      <c r="K23" s="7" t="str">
        <f ca="1">IF(G23="完了","完了",IF(I23="","",IF(I23&lt;TODAY(),"期限超過",IF(I23&lt;=TODAY()+1,"要対応","予定内"))))</f>
        <v/>
      </c>
      <c r="L23" s="7"/>
    </row>
    <row r="24" spans="1:12" x14ac:dyDescent="0.4">
      <c r="A24" s="7">
        <f>ROW()-4</f>
        <v>20</v>
      </c>
      <c r="B24" s="8"/>
      <c r="C24" s="7"/>
      <c r="D24" s="7"/>
      <c r="E24" s="7"/>
      <c r="F24" s="7"/>
      <c r="G24" s="7"/>
      <c r="H24" s="7"/>
      <c r="I24" s="8"/>
      <c r="J24" s="9" t="str">
        <f ca="1">IF(B24="","",TODAY()-B24)</f>
        <v/>
      </c>
      <c r="K24" s="7" t="str">
        <f ca="1">IF(G24="完了","完了",IF(I24="","",IF(I24&lt;TODAY(),"期限超過",IF(I24&lt;=TODAY()+1,"要対応","予定内"))))</f>
        <v/>
      </c>
      <c r="L24" s="7"/>
    </row>
    <row r="25" spans="1:12" x14ac:dyDescent="0.4">
      <c r="A25" s="7">
        <f>ROW()-4</f>
        <v>21</v>
      </c>
      <c r="B25" s="8"/>
      <c r="C25" s="7"/>
      <c r="D25" s="7"/>
      <c r="E25" s="7"/>
      <c r="F25" s="7"/>
      <c r="G25" s="7"/>
      <c r="H25" s="7"/>
      <c r="I25" s="8"/>
      <c r="J25" s="9" t="str">
        <f ca="1">IF(B25="","",TODAY()-B25)</f>
        <v/>
      </c>
      <c r="K25" s="7" t="str">
        <f ca="1">IF(G25="完了","完了",IF(I25="","",IF(I25&lt;TODAY(),"期限超過",IF(I25&lt;=TODAY()+1,"要対応","予定内"))))</f>
        <v/>
      </c>
      <c r="L25" s="7"/>
    </row>
    <row r="26" spans="1:12" x14ac:dyDescent="0.4">
      <c r="A26" s="7">
        <f>ROW()-4</f>
        <v>22</v>
      </c>
      <c r="B26" s="8"/>
      <c r="C26" s="7"/>
      <c r="D26" s="7"/>
      <c r="E26" s="7"/>
      <c r="F26" s="7"/>
      <c r="G26" s="7"/>
      <c r="H26" s="7"/>
      <c r="I26" s="8"/>
      <c r="J26" s="9" t="str">
        <f ca="1">IF(B26="","",TODAY()-B26)</f>
        <v/>
      </c>
      <c r="K26" s="7" t="str">
        <f ca="1">IF(G26="完了","完了",IF(I26="","",IF(I26&lt;TODAY(),"期限超過",IF(I26&lt;=TODAY()+1,"要対応","予定内"))))</f>
        <v/>
      </c>
      <c r="L26" s="7"/>
    </row>
    <row r="27" spans="1:12" x14ac:dyDescent="0.4">
      <c r="A27" s="7">
        <f>ROW()-4</f>
        <v>23</v>
      </c>
      <c r="B27" s="8"/>
      <c r="C27" s="7"/>
      <c r="D27" s="7"/>
      <c r="E27" s="7"/>
      <c r="F27" s="7"/>
      <c r="G27" s="7"/>
      <c r="H27" s="7"/>
      <c r="I27" s="8"/>
      <c r="J27" s="9" t="str">
        <f ca="1">IF(B27="","",TODAY()-B27)</f>
        <v/>
      </c>
      <c r="K27" s="7" t="str">
        <f ca="1">IF(G27="完了","完了",IF(I27="","",IF(I27&lt;TODAY(),"期限超過",IF(I27&lt;=TODAY()+1,"要対応","予定内"))))</f>
        <v/>
      </c>
      <c r="L27" s="7"/>
    </row>
    <row r="28" spans="1:12" x14ac:dyDescent="0.4">
      <c r="A28" s="7">
        <f>ROW()-4</f>
        <v>24</v>
      </c>
      <c r="B28" s="8"/>
      <c r="C28" s="7"/>
      <c r="D28" s="7"/>
      <c r="E28" s="7"/>
      <c r="F28" s="7"/>
      <c r="G28" s="7"/>
      <c r="H28" s="7"/>
      <c r="I28" s="8"/>
      <c r="J28" s="9" t="str">
        <f ca="1">IF(B28="","",TODAY()-B28)</f>
        <v/>
      </c>
      <c r="K28" s="7" t="str">
        <f ca="1">IF(G28="完了","完了",IF(I28="","",IF(I28&lt;TODAY(),"期限超過",IF(I28&lt;=TODAY()+1,"要対応","予定内"))))</f>
        <v/>
      </c>
      <c r="L28" s="7"/>
    </row>
    <row r="29" spans="1:12" x14ac:dyDescent="0.4">
      <c r="A29" s="7">
        <f>ROW()-4</f>
        <v>25</v>
      </c>
      <c r="B29" s="8"/>
      <c r="C29" s="7"/>
      <c r="D29" s="7"/>
      <c r="E29" s="7"/>
      <c r="F29" s="7"/>
      <c r="G29" s="7"/>
      <c r="H29" s="7"/>
      <c r="I29" s="8"/>
      <c r="J29" s="9" t="str">
        <f ca="1">IF(B29="","",TODAY()-B29)</f>
        <v/>
      </c>
      <c r="K29" s="7" t="str">
        <f ca="1">IF(G29="完了","完了",IF(I29="","",IF(I29&lt;TODAY(),"期限超過",IF(I29&lt;=TODAY()+1,"要対応","予定内"))))</f>
        <v/>
      </c>
      <c r="L29" s="7"/>
    </row>
    <row r="30" spans="1:12" x14ac:dyDescent="0.4">
      <c r="A30" s="7">
        <f>ROW()-4</f>
        <v>26</v>
      </c>
      <c r="B30" s="8"/>
      <c r="C30" s="7"/>
      <c r="D30" s="7"/>
      <c r="E30" s="7"/>
      <c r="F30" s="7"/>
      <c r="G30" s="7"/>
      <c r="H30" s="7"/>
      <c r="I30" s="8"/>
      <c r="J30" s="9" t="str">
        <f ca="1">IF(B30="","",TODAY()-B30)</f>
        <v/>
      </c>
      <c r="K30" s="7" t="str">
        <f ca="1">IF(G30="完了","完了",IF(I30="","",IF(I30&lt;TODAY(),"期限超過",IF(I30&lt;=TODAY()+1,"要対応","予定内"))))</f>
        <v/>
      </c>
      <c r="L30" s="7"/>
    </row>
    <row r="31" spans="1:12" x14ac:dyDescent="0.4">
      <c r="A31" s="7">
        <f>ROW()-4</f>
        <v>27</v>
      </c>
      <c r="B31" s="8"/>
      <c r="C31" s="7"/>
      <c r="D31" s="7"/>
      <c r="E31" s="7"/>
      <c r="F31" s="7"/>
      <c r="G31" s="7"/>
      <c r="H31" s="7"/>
      <c r="I31" s="8"/>
      <c r="J31" s="9" t="str">
        <f ca="1">IF(B31="","",TODAY()-B31)</f>
        <v/>
      </c>
      <c r="K31" s="7" t="str">
        <f ca="1">IF(G31="完了","完了",IF(I31="","",IF(I31&lt;TODAY(),"期限超過",IF(I31&lt;=TODAY()+1,"要対応","予定内"))))</f>
        <v/>
      </c>
      <c r="L31" s="7"/>
    </row>
    <row r="32" spans="1:12" x14ac:dyDescent="0.4">
      <c r="A32" s="7">
        <f>ROW()-4</f>
        <v>28</v>
      </c>
      <c r="B32" s="8"/>
      <c r="C32" s="7"/>
      <c r="D32" s="7"/>
      <c r="E32" s="7"/>
      <c r="F32" s="7"/>
      <c r="G32" s="7"/>
      <c r="H32" s="7"/>
      <c r="I32" s="8"/>
      <c r="J32" s="9" t="str">
        <f ca="1">IF(B32="","",TODAY()-B32)</f>
        <v/>
      </c>
      <c r="K32" s="7" t="str">
        <f ca="1">IF(G32="完了","完了",IF(I32="","",IF(I32&lt;TODAY(),"期限超過",IF(I32&lt;=TODAY()+1,"要対応","予定内"))))</f>
        <v/>
      </c>
      <c r="L32" s="7"/>
    </row>
    <row r="33" spans="1:12" x14ac:dyDescent="0.4">
      <c r="A33" s="7">
        <f>ROW()-4</f>
        <v>29</v>
      </c>
      <c r="B33" s="8"/>
      <c r="C33" s="7"/>
      <c r="D33" s="7"/>
      <c r="E33" s="7"/>
      <c r="F33" s="7"/>
      <c r="G33" s="7"/>
      <c r="H33" s="7"/>
      <c r="I33" s="8"/>
      <c r="J33" s="9" t="str">
        <f ca="1">IF(B33="","",TODAY()-B33)</f>
        <v/>
      </c>
      <c r="K33" s="7" t="str">
        <f ca="1">IF(G33="完了","完了",IF(I33="","",IF(I33&lt;TODAY(),"期限超過",IF(I33&lt;=TODAY()+1,"要対応","予定内"))))</f>
        <v/>
      </c>
      <c r="L33" s="7"/>
    </row>
    <row r="34" spans="1:12" x14ac:dyDescent="0.4">
      <c r="A34" s="7">
        <f>ROW()-4</f>
        <v>30</v>
      </c>
      <c r="B34" s="8"/>
      <c r="C34" s="7"/>
      <c r="D34" s="7"/>
      <c r="E34" s="7"/>
      <c r="F34" s="7"/>
      <c r="G34" s="7"/>
      <c r="H34" s="7"/>
      <c r="I34" s="8"/>
      <c r="J34" s="9" t="str">
        <f ca="1">IF(B34="","",TODAY()-B34)</f>
        <v/>
      </c>
      <c r="K34" s="7" t="str">
        <f ca="1">IF(G34="完了","完了",IF(I34="","",IF(I34&lt;TODAY(),"期限超過",IF(I34&lt;=TODAY()+1,"要対応","予定内"))))</f>
        <v/>
      </c>
      <c r="L34" s="7"/>
    </row>
    <row r="35" spans="1:12" x14ac:dyDescent="0.4">
      <c r="A35" s="7">
        <f>ROW()-4</f>
        <v>31</v>
      </c>
      <c r="B35" s="8"/>
      <c r="C35" s="7"/>
      <c r="D35" s="7"/>
      <c r="E35" s="7"/>
      <c r="F35" s="7"/>
      <c r="G35" s="7"/>
      <c r="H35" s="7"/>
      <c r="I35" s="8"/>
      <c r="J35" s="9" t="str">
        <f ca="1">IF(B35="","",TODAY()-B35)</f>
        <v/>
      </c>
      <c r="K35" s="7" t="str">
        <f ca="1">IF(G35="完了","完了",IF(I35="","",IF(I35&lt;TODAY(),"期限超過",IF(I35&lt;=TODAY()+1,"要対応","予定内"))))</f>
        <v/>
      </c>
      <c r="L35" s="7"/>
    </row>
    <row r="36" spans="1:12" x14ac:dyDescent="0.4">
      <c r="A36" s="7">
        <f>ROW()-4</f>
        <v>32</v>
      </c>
      <c r="B36" s="8"/>
      <c r="C36" s="7"/>
      <c r="D36" s="7"/>
      <c r="E36" s="7"/>
      <c r="F36" s="7"/>
      <c r="G36" s="7"/>
      <c r="H36" s="7"/>
      <c r="I36" s="8"/>
      <c r="J36" s="9" t="str">
        <f ca="1">IF(B36="","",TODAY()-B36)</f>
        <v/>
      </c>
      <c r="K36" s="7" t="str">
        <f ca="1">IF(G36="完了","完了",IF(I36="","",IF(I36&lt;TODAY(),"期限超過",IF(I36&lt;=TODAY()+1,"要対応","予定内"))))</f>
        <v/>
      </c>
      <c r="L36" s="7"/>
    </row>
    <row r="37" spans="1:12" x14ac:dyDescent="0.4">
      <c r="A37" s="7">
        <f>ROW()-4</f>
        <v>33</v>
      </c>
      <c r="B37" s="8"/>
      <c r="C37" s="7"/>
      <c r="D37" s="7"/>
      <c r="E37" s="7"/>
      <c r="F37" s="7"/>
      <c r="G37" s="7"/>
      <c r="H37" s="7"/>
      <c r="I37" s="8"/>
      <c r="J37" s="9" t="str">
        <f ca="1">IF(B37="","",TODAY()-B37)</f>
        <v/>
      </c>
      <c r="K37" s="7" t="str">
        <f ca="1">IF(G37="完了","完了",IF(I37="","",IF(I37&lt;TODAY(),"期限超過",IF(I37&lt;=TODAY()+1,"要対応","予定内"))))</f>
        <v/>
      </c>
      <c r="L37" s="7"/>
    </row>
    <row r="38" spans="1:12" x14ac:dyDescent="0.4">
      <c r="A38" s="7">
        <f>ROW()-4</f>
        <v>34</v>
      </c>
      <c r="B38" s="8"/>
      <c r="C38" s="7"/>
      <c r="D38" s="7"/>
      <c r="E38" s="7"/>
      <c r="F38" s="7"/>
      <c r="G38" s="7"/>
      <c r="H38" s="7"/>
      <c r="I38" s="8"/>
      <c r="J38" s="9" t="str">
        <f ca="1">IF(B38="","",TODAY()-B38)</f>
        <v/>
      </c>
      <c r="K38" s="7" t="str">
        <f ca="1">IF(G38="完了","完了",IF(I38="","",IF(I38&lt;TODAY(),"期限超過",IF(I38&lt;=TODAY()+1,"要対応","予定内"))))</f>
        <v/>
      </c>
      <c r="L38" s="7"/>
    </row>
    <row r="39" spans="1:12" x14ac:dyDescent="0.4">
      <c r="A39" s="7">
        <f>ROW()-4</f>
        <v>35</v>
      </c>
      <c r="B39" s="8"/>
      <c r="C39" s="7"/>
      <c r="D39" s="7"/>
      <c r="E39" s="7"/>
      <c r="F39" s="7"/>
      <c r="G39" s="7"/>
      <c r="H39" s="7"/>
      <c r="I39" s="8"/>
      <c r="J39" s="9" t="str">
        <f ca="1">IF(B39="","",TODAY()-B39)</f>
        <v/>
      </c>
      <c r="K39" s="7" t="str">
        <f ca="1">IF(G39="完了","完了",IF(I39="","",IF(I39&lt;TODAY(),"期限超過",IF(I39&lt;=TODAY()+1,"要対応","予定内"))))</f>
        <v/>
      </c>
      <c r="L39" s="7"/>
    </row>
    <row r="40" spans="1:12" x14ac:dyDescent="0.4">
      <c r="A40" s="7">
        <f>ROW()-4</f>
        <v>36</v>
      </c>
      <c r="B40" s="8"/>
      <c r="C40" s="7"/>
      <c r="D40" s="7"/>
      <c r="E40" s="7"/>
      <c r="F40" s="7"/>
      <c r="G40" s="7"/>
      <c r="H40" s="7"/>
      <c r="I40" s="8"/>
      <c r="J40" s="9" t="str">
        <f ca="1">IF(B40="","",TODAY()-B40)</f>
        <v/>
      </c>
      <c r="K40" s="7" t="str">
        <f ca="1">IF(G40="完了","完了",IF(I40="","",IF(I40&lt;TODAY(),"期限超過",IF(I40&lt;=TODAY()+1,"要対応","予定内"))))</f>
        <v/>
      </c>
      <c r="L40" s="7"/>
    </row>
    <row r="41" spans="1:12" x14ac:dyDescent="0.4">
      <c r="A41" s="7">
        <f>ROW()-4</f>
        <v>37</v>
      </c>
      <c r="B41" s="8"/>
      <c r="C41" s="7"/>
      <c r="D41" s="7"/>
      <c r="E41" s="7"/>
      <c r="F41" s="7"/>
      <c r="G41" s="7"/>
      <c r="H41" s="7"/>
      <c r="I41" s="8"/>
      <c r="J41" s="9" t="str">
        <f ca="1">IF(B41="","",TODAY()-B41)</f>
        <v/>
      </c>
      <c r="K41" s="7" t="str">
        <f ca="1">IF(G41="完了","完了",IF(I41="","",IF(I41&lt;TODAY(),"期限超過",IF(I41&lt;=TODAY()+1,"要対応","予定内"))))</f>
        <v/>
      </c>
      <c r="L41" s="7"/>
    </row>
    <row r="42" spans="1:12" x14ac:dyDescent="0.4">
      <c r="A42" s="7">
        <f>ROW()-4</f>
        <v>38</v>
      </c>
      <c r="B42" s="8"/>
      <c r="C42" s="7"/>
      <c r="D42" s="7"/>
      <c r="E42" s="7"/>
      <c r="F42" s="7"/>
      <c r="G42" s="7"/>
      <c r="H42" s="7"/>
      <c r="I42" s="8"/>
      <c r="J42" s="9" t="str">
        <f ca="1">IF(B42="","",TODAY()-B42)</f>
        <v/>
      </c>
      <c r="K42" s="7" t="str">
        <f ca="1">IF(G42="完了","完了",IF(I42="","",IF(I42&lt;TODAY(),"期限超過",IF(I42&lt;=TODAY()+1,"要対応","予定内"))))</f>
        <v/>
      </c>
      <c r="L42" s="7"/>
    </row>
    <row r="43" spans="1:12" x14ac:dyDescent="0.4">
      <c r="A43" s="7">
        <f>ROW()-4</f>
        <v>39</v>
      </c>
      <c r="B43" s="8"/>
      <c r="C43" s="7"/>
      <c r="D43" s="7"/>
      <c r="E43" s="7"/>
      <c r="F43" s="7"/>
      <c r="G43" s="7"/>
      <c r="H43" s="7"/>
      <c r="I43" s="8"/>
      <c r="J43" s="9" t="str">
        <f ca="1">IF(B43="","",TODAY()-B43)</f>
        <v/>
      </c>
      <c r="K43" s="7" t="str">
        <f ca="1">IF(G43="完了","完了",IF(I43="","",IF(I43&lt;TODAY(),"期限超過",IF(I43&lt;=TODAY()+1,"要対応","予定内"))))</f>
        <v/>
      </c>
      <c r="L43" s="7"/>
    </row>
    <row r="44" spans="1:12" x14ac:dyDescent="0.4">
      <c r="A44" s="7">
        <f>ROW()-4</f>
        <v>40</v>
      </c>
      <c r="B44" s="8"/>
      <c r="C44" s="7"/>
      <c r="D44" s="7"/>
      <c r="E44" s="7"/>
      <c r="F44" s="7"/>
      <c r="G44" s="7"/>
      <c r="H44" s="7"/>
      <c r="I44" s="8"/>
      <c r="J44" s="9" t="str">
        <f ca="1">IF(B44="","",TODAY()-B44)</f>
        <v/>
      </c>
      <c r="K44" s="7" t="str">
        <f ca="1">IF(G44="完了","完了",IF(I44="","",IF(I44&lt;TODAY(),"期限超過",IF(I44&lt;=TODAY()+1,"要対応","予定内"))))</f>
        <v/>
      </c>
      <c r="L44" s="7"/>
    </row>
    <row r="45" spans="1:12" x14ac:dyDescent="0.4">
      <c r="A45" s="7">
        <f>ROW()-4</f>
        <v>41</v>
      </c>
      <c r="B45" s="8"/>
      <c r="C45" s="7"/>
      <c r="D45" s="7"/>
      <c r="E45" s="7"/>
      <c r="F45" s="7"/>
      <c r="G45" s="7"/>
      <c r="H45" s="7"/>
      <c r="I45" s="8"/>
      <c r="J45" s="9" t="str">
        <f ca="1">IF(B45="","",TODAY()-B45)</f>
        <v/>
      </c>
      <c r="K45" s="7" t="str">
        <f ca="1">IF(G45="完了","完了",IF(I45="","",IF(I45&lt;TODAY(),"期限超過",IF(I45&lt;=TODAY()+1,"要対応","予定内"))))</f>
        <v/>
      </c>
      <c r="L45" s="7"/>
    </row>
    <row r="46" spans="1:12" x14ac:dyDescent="0.4">
      <c r="A46" s="7">
        <f>ROW()-4</f>
        <v>42</v>
      </c>
      <c r="B46" s="8"/>
      <c r="C46" s="7"/>
      <c r="D46" s="7"/>
      <c r="E46" s="7"/>
      <c r="F46" s="7"/>
      <c r="G46" s="7"/>
      <c r="H46" s="7"/>
      <c r="I46" s="8"/>
      <c r="J46" s="9" t="str">
        <f ca="1">IF(B46="","",TODAY()-B46)</f>
        <v/>
      </c>
      <c r="K46" s="7" t="str">
        <f ca="1">IF(G46="完了","完了",IF(I46="","",IF(I46&lt;TODAY(),"期限超過",IF(I46&lt;=TODAY()+1,"要対応","予定内"))))</f>
        <v/>
      </c>
      <c r="L46" s="7"/>
    </row>
    <row r="47" spans="1:12" x14ac:dyDescent="0.4">
      <c r="A47" s="7">
        <f>ROW()-4</f>
        <v>43</v>
      </c>
      <c r="B47" s="8"/>
      <c r="C47" s="7"/>
      <c r="D47" s="7"/>
      <c r="E47" s="7"/>
      <c r="F47" s="7"/>
      <c r="G47" s="7"/>
      <c r="H47" s="7"/>
      <c r="I47" s="8"/>
      <c r="J47" s="9" t="str">
        <f ca="1">IF(B47="","",TODAY()-B47)</f>
        <v/>
      </c>
      <c r="K47" s="7" t="str">
        <f ca="1">IF(G47="完了","完了",IF(I47="","",IF(I47&lt;TODAY(),"期限超過",IF(I47&lt;=TODAY()+1,"要対応","予定内"))))</f>
        <v/>
      </c>
      <c r="L47" s="7"/>
    </row>
    <row r="48" spans="1:12" x14ac:dyDescent="0.4">
      <c r="A48" s="7">
        <f>ROW()-4</f>
        <v>44</v>
      </c>
      <c r="B48" s="8"/>
      <c r="C48" s="7"/>
      <c r="D48" s="7"/>
      <c r="E48" s="7"/>
      <c r="F48" s="7"/>
      <c r="G48" s="7"/>
      <c r="H48" s="7"/>
      <c r="I48" s="8"/>
      <c r="J48" s="9" t="str">
        <f ca="1">IF(B48="","",TODAY()-B48)</f>
        <v/>
      </c>
      <c r="K48" s="7" t="str">
        <f ca="1">IF(G48="完了","完了",IF(I48="","",IF(I48&lt;TODAY(),"期限超過",IF(I48&lt;=TODAY()+1,"要対応","予定内"))))</f>
        <v/>
      </c>
      <c r="L48" s="7"/>
    </row>
    <row r="49" spans="1:12" x14ac:dyDescent="0.4">
      <c r="A49" s="7">
        <f>ROW()-4</f>
        <v>45</v>
      </c>
      <c r="B49" s="8"/>
      <c r="C49" s="7"/>
      <c r="D49" s="7"/>
      <c r="E49" s="7"/>
      <c r="F49" s="7"/>
      <c r="G49" s="7"/>
      <c r="H49" s="7"/>
      <c r="I49" s="8"/>
      <c r="J49" s="9" t="str">
        <f ca="1">IF(B49="","",TODAY()-B49)</f>
        <v/>
      </c>
      <c r="K49" s="7" t="str">
        <f ca="1">IF(G49="完了","完了",IF(I49="","",IF(I49&lt;TODAY(),"期限超過",IF(I49&lt;=TODAY()+1,"要対応","予定内"))))</f>
        <v/>
      </c>
      <c r="L49" s="7"/>
    </row>
    <row r="50" spans="1:12" x14ac:dyDescent="0.4">
      <c r="A50" s="7">
        <f>ROW()-4</f>
        <v>46</v>
      </c>
      <c r="B50" s="8"/>
      <c r="C50" s="7"/>
      <c r="D50" s="7"/>
      <c r="E50" s="7"/>
      <c r="F50" s="7"/>
      <c r="G50" s="7"/>
      <c r="H50" s="7"/>
      <c r="I50" s="8"/>
      <c r="J50" s="9" t="str">
        <f ca="1">IF(B50="","",TODAY()-B50)</f>
        <v/>
      </c>
      <c r="K50" s="7" t="str">
        <f ca="1">IF(G50="完了","完了",IF(I50="","",IF(I50&lt;TODAY(),"期限超過",IF(I50&lt;=TODAY()+1,"要対応","予定内"))))</f>
        <v/>
      </c>
      <c r="L50" s="7"/>
    </row>
    <row r="51" spans="1:12" x14ac:dyDescent="0.4">
      <c r="A51" s="7">
        <f>ROW()-4</f>
        <v>47</v>
      </c>
      <c r="B51" s="8"/>
      <c r="C51" s="7"/>
      <c r="D51" s="7"/>
      <c r="E51" s="7"/>
      <c r="F51" s="7"/>
      <c r="G51" s="7"/>
      <c r="H51" s="7"/>
      <c r="I51" s="8"/>
      <c r="J51" s="9" t="str">
        <f ca="1">IF(B51="","",TODAY()-B51)</f>
        <v/>
      </c>
      <c r="K51" s="7" t="str">
        <f ca="1">IF(G51="完了","完了",IF(I51="","",IF(I51&lt;TODAY(),"期限超過",IF(I51&lt;=TODAY()+1,"要対応","予定内"))))</f>
        <v/>
      </c>
      <c r="L51" s="7"/>
    </row>
    <row r="52" spans="1:12" x14ac:dyDescent="0.4">
      <c r="A52" s="7">
        <f>ROW()-4</f>
        <v>48</v>
      </c>
      <c r="B52" s="8"/>
      <c r="C52" s="7"/>
      <c r="D52" s="7"/>
      <c r="E52" s="7"/>
      <c r="F52" s="7"/>
      <c r="G52" s="7"/>
      <c r="H52" s="7"/>
      <c r="I52" s="8"/>
      <c r="J52" s="9" t="str">
        <f ca="1">IF(B52="","",TODAY()-B52)</f>
        <v/>
      </c>
      <c r="K52" s="7" t="str">
        <f ca="1">IF(G52="完了","完了",IF(I52="","",IF(I52&lt;TODAY(),"期限超過",IF(I52&lt;=TODAY()+1,"要対応","予定内"))))</f>
        <v/>
      </c>
      <c r="L52" s="7"/>
    </row>
    <row r="53" spans="1:12" x14ac:dyDescent="0.4">
      <c r="A53" s="7">
        <f>ROW()-4</f>
        <v>49</v>
      </c>
      <c r="B53" s="8"/>
      <c r="C53" s="7"/>
      <c r="D53" s="7"/>
      <c r="E53" s="7"/>
      <c r="F53" s="7"/>
      <c r="G53" s="7"/>
      <c r="H53" s="7"/>
      <c r="I53" s="8"/>
      <c r="J53" s="9" t="str">
        <f ca="1">IF(B53="","",TODAY()-B53)</f>
        <v/>
      </c>
      <c r="K53" s="7" t="str">
        <f ca="1">IF(G53="完了","完了",IF(I53="","",IF(I53&lt;TODAY(),"期限超過",IF(I53&lt;=TODAY()+1,"要対応","予定内"))))</f>
        <v/>
      </c>
      <c r="L53" s="7"/>
    </row>
    <row r="54" spans="1:12" x14ac:dyDescent="0.4">
      <c r="A54" s="7">
        <f>ROW()-4</f>
        <v>50</v>
      </c>
      <c r="B54" s="8"/>
      <c r="C54" s="7"/>
      <c r="D54" s="7"/>
      <c r="E54" s="7"/>
      <c r="F54" s="7"/>
      <c r="G54" s="7"/>
      <c r="H54" s="7"/>
      <c r="I54" s="8"/>
      <c r="J54" s="9" t="str">
        <f ca="1">IF(B54="","",TODAY()-B54)</f>
        <v/>
      </c>
      <c r="K54" s="7" t="str">
        <f ca="1">IF(G54="完了","完了",IF(I54="","",IF(I54&lt;TODAY(),"期限超過",IF(I54&lt;=TODAY()+1,"要対応","予定内"))))</f>
        <v/>
      </c>
      <c r="L54" s="7"/>
    </row>
    <row r="55" spans="1:12" x14ac:dyDescent="0.4">
      <c r="A55" s="7">
        <f>ROW()-4</f>
        <v>51</v>
      </c>
      <c r="B55" s="8"/>
      <c r="C55" s="7"/>
      <c r="D55" s="7"/>
      <c r="E55" s="7"/>
      <c r="F55" s="7"/>
      <c r="G55" s="7"/>
      <c r="H55" s="7"/>
      <c r="I55" s="8"/>
      <c r="J55" s="9" t="str">
        <f ca="1">IF(B55="","",TODAY()-B55)</f>
        <v/>
      </c>
      <c r="K55" s="7" t="str">
        <f ca="1">IF(G55="完了","完了",IF(I55="","",IF(I55&lt;TODAY(),"期限超過",IF(I55&lt;=TODAY()+1,"要対応","予定内"))))</f>
        <v/>
      </c>
      <c r="L55" s="7"/>
    </row>
    <row r="56" spans="1:12" x14ac:dyDescent="0.4">
      <c r="A56" s="7">
        <f>ROW()-4</f>
        <v>52</v>
      </c>
      <c r="B56" s="8"/>
      <c r="C56" s="7"/>
      <c r="D56" s="7"/>
      <c r="E56" s="7"/>
      <c r="F56" s="7"/>
      <c r="G56" s="7"/>
      <c r="H56" s="7"/>
      <c r="I56" s="8"/>
      <c r="J56" s="9" t="str">
        <f ca="1">IF(B56="","",TODAY()-B56)</f>
        <v/>
      </c>
      <c r="K56" s="7" t="str">
        <f ca="1">IF(G56="完了","完了",IF(I56="","",IF(I56&lt;TODAY(),"期限超過",IF(I56&lt;=TODAY()+1,"要対応","予定内"))))</f>
        <v/>
      </c>
      <c r="L56" s="7"/>
    </row>
    <row r="57" spans="1:12" x14ac:dyDescent="0.4">
      <c r="A57" s="7">
        <f>ROW()-4</f>
        <v>53</v>
      </c>
      <c r="B57" s="8"/>
      <c r="C57" s="7"/>
      <c r="D57" s="7"/>
      <c r="E57" s="7"/>
      <c r="F57" s="7"/>
      <c r="G57" s="7"/>
      <c r="H57" s="7"/>
      <c r="I57" s="8"/>
      <c r="J57" s="9" t="str">
        <f ca="1">IF(B57="","",TODAY()-B57)</f>
        <v/>
      </c>
      <c r="K57" s="7" t="str">
        <f ca="1">IF(G57="完了","完了",IF(I57="","",IF(I57&lt;TODAY(),"期限超過",IF(I57&lt;=TODAY()+1,"要対応","予定内"))))</f>
        <v/>
      </c>
      <c r="L57" s="7"/>
    </row>
    <row r="58" spans="1:12" x14ac:dyDescent="0.4">
      <c r="A58" s="7">
        <f>ROW()-4</f>
        <v>54</v>
      </c>
      <c r="B58" s="8"/>
      <c r="C58" s="7"/>
      <c r="D58" s="7"/>
      <c r="E58" s="7"/>
      <c r="F58" s="7"/>
      <c r="G58" s="7"/>
      <c r="H58" s="7"/>
      <c r="I58" s="8"/>
      <c r="J58" s="9" t="str">
        <f ca="1">IF(B58="","",TODAY()-B58)</f>
        <v/>
      </c>
      <c r="K58" s="7" t="str">
        <f ca="1">IF(G58="完了","完了",IF(I58="","",IF(I58&lt;TODAY(),"期限超過",IF(I58&lt;=TODAY()+1,"要対応","予定内"))))</f>
        <v/>
      </c>
      <c r="L58" s="7"/>
    </row>
    <row r="59" spans="1:12" x14ac:dyDescent="0.4">
      <c r="A59" s="7">
        <f>ROW()-4</f>
        <v>55</v>
      </c>
      <c r="B59" s="8"/>
      <c r="C59" s="7"/>
      <c r="D59" s="7"/>
      <c r="E59" s="7"/>
      <c r="F59" s="7"/>
      <c r="G59" s="7"/>
      <c r="H59" s="7"/>
      <c r="I59" s="8"/>
      <c r="J59" s="9" t="str">
        <f ca="1">IF(B59="","",TODAY()-B59)</f>
        <v/>
      </c>
      <c r="K59" s="7" t="str">
        <f ca="1">IF(G59="完了","完了",IF(I59="","",IF(I59&lt;TODAY(),"期限超過",IF(I59&lt;=TODAY()+1,"要対応","予定内"))))</f>
        <v/>
      </c>
      <c r="L59" s="7"/>
    </row>
    <row r="60" spans="1:12" x14ac:dyDescent="0.4">
      <c r="A60" s="7">
        <f>ROW()-4</f>
        <v>56</v>
      </c>
      <c r="B60" s="8"/>
      <c r="C60" s="7"/>
      <c r="D60" s="7"/>
      <c r="E60" s="7"/>
      <c r="F60" s="7"/>
      <c r="G60" s="7"/>
      <c r="H60" s="7"/>
      <c r="I60" s="8"/>
      <c r="J60" s="9" t="str">
        <f ca="1">IF(B60="","",TODAY()-B60)</f>
        <v/>
      </c>
      <c r="K60" s="7" t="str">
        <f ca="1">IF(G60="完了","完了",IF(I60="","",IF(I60&lt;TODAY(),"期限超過",IF(I60&lt;=TODAY()+1,"要対応","予定内"))))</f>
        <v/>
      </c>
      <c r="L60" s="7"/>
    </row>
    <row r="61" spans="1:12" x14ac:dyDescent="0.4">
      <c r="A61" s="7">
        <f>ROW()-4</f>
        <v>57</v>
      </c>
      <c r="B61" s="8"/>
      <c r="C61" s="7"/>
      <c r="D61" s="7"/>
      <c r="E61" s="7"/>
      <c r="F61" s="7"/>
      <c r="G61" s="7"/>
      <c r="H61" s="7"/>
      <c r="I61" s="8"/>
      <c r="J61" s="9" t="str">
        <f ca="1">IF(B61="","",TODAY()-B61)</f>
        <v/>
      </c>
      <c r="K61" s="7" t="str">
        <f ca="1">IF(G61="完了","完了",IF(I61="","",IF(I61&lt;TODAY(),"期限超過",IF(I61&lt;=TODAY()+1,"要対応","予定内"))))</f>
        <v/>
      </c>
      <c r="L61" s="7"/>
    </row>
    <row r="62" spans="1:12" x14ac:dyDescent="0.4">
      <c r="A62" s="7">
        <f>ROW()-4</f>
        <v>58</v>
      </c>
      <c r="B62" s="8"/>
      <c r="C62" s="7"/>
      <c r="D62" s="7"/>
      <c r="E62" s="7"/>
      <c r="F62" s="7"/>
      <c r="G62" s="7"/>
      <c r="H62" s="7"/>
      <c r="I62" s="8"/>
      <c r="J62" s="9" t="str">
        <f ca="1">IF(B62="","",TODAY()-B62)</f>
        <v/>
      </c>
      <c r="K62" s="7" t="str">
        <f ca="1">IF(G62="完了","完了",IF(I62="","",IF(I62&lt;TODAY(),"期限超過",IF(I62&lt;=TODAY()+1,"要対応","予定内"))))</f>
        <v/>
      </c>
      <c r="L62" s="7"/>
    </row>
    <row r="63" spans="1:12" x14ac:dyDescent="0.4">
      <c r="A63" s="7">
        <f>ROW()-4</f>
        <v>59</v>
      </c>
      <c r="B63" s="8"/>
      <c r="C63" s="7"/>
      <c r="D63" s="7"/>
      <c r="E63" s="7"/>
      <c r="F63" s="7"/>
      <c r="G63" s="7"/>
      <c r="H63" s="7"/>
      <c r="I63" s="8"/>
      <c r="J63" s="9" t="str">
        <f ca="1">IF(B63="","",TODAY()-B63)</f>
        <v/>
      </c>
      <c r="K63" s="7" t="str">
        <f ca="1">IF(G63="完了","完了",IF(I63="","",IF(I63&lt;TODAY(),"期限超過",IF(I63&lt;=TODAY()+1,"要対応","予定内"))))</f>
        <v/>
      </c>
      <c r="L63" s="7"/>
    </row>
    <row r="64" spans="1:12" x14ac:dyDescent="0.4">
      <c r="A64" s="7">
        <f>ROW()-4</f>
        <v>60</v>
      </c>
      <c r="B64" s="8"/>
      <c r="C64" s="7"/>
      <c r="D64" s="7"/>
      <c r="E64" s="7"/>
      <c r="F64" s="7"/>
      <c r="G64" s="7"/>
      <c r="H64" s="7"/>
      <c r="I64" s="8"/>
      <c r="J64" s="9" t="str">
        <f ca="1">IF(B64="","",TODAY()-B64)</f>
        <v/>
      </c>
      <c r="K64" s="7" t="str">
        <f ca="1">IF(G64="完了","完了",IF(I64="","",IF(I64&lt;TODAY(),"期限超過",IF(I64&lt;=TODAY()+1,"要対応","予定内"))))</f>
        <v/>
      </c>
      <c r="L64" s="7"/>
    </row>
    <row r="65" spans="1:12" x14ac:dyDescent="0.4">
      <c r="A65" s="7">
        <f>ROW()-4</f>
        <v>61</v>
      </c>
      <c r="B65" s="8"/>
      <c r="C65" s="7"/>
      <c r="D65" s="7"/>
      <c r="E65" s="7"/>
      <c r="F65" s="7"/>
      <c r="G65" s="7"/>
      <c r="H65" s="7"/>
      <c r="I65" s="8"/>
      <c r="J65" s="9" t="str">
        <f ca="1">IF(B65="","",TODAY()-B65)</f>
        <v/>
      </c>
      <c r="K65" s="7" t="str">
        <f ca="1">IF(G65="完了","完了",IF(I65="","",IF(I65&lt;TODAY(),"期限超過",IF(I65&lt;=TODAY()+1,"要対応","予定内"))))</f>
        <v/>
      </c>
      <c r="L65" s="7"/>
    </row>
    <row r="66" spans="1:12" x14ac:dyDescent="0.4">
      <c r="A66" s="7">
        <f>ROW()-4</f>
        <v>62</v>
      </c>
      <c r="B66" s="8"/>
      <c r="C66" s="7"/>
      <c r="D66" s="7"/>
      <c r="E66" s="7"/>
      <c r="F66" s="7"/>
      <c r="G66" s="7"/>
      <c r="H66" s="7"/>
      <c r="I66" s="8"/>
      <c r="J66" s="9" t="str">
        <f ca="1">IF(B66="","",TODAY()-B66)</f>
        <v/>
      </c>
      <c r="K66" s="7" t="str">
        <f ca="1">IF(G66="完了","完了",IF(I66="","",IF(I66&lt;TODAY(),"期限超過",IF(I66&lt;=TODAY()+1,"要対応","予定内"))))</f>
        <v/>
      </c>
      <c r="L66" s="7"/>
    </row>
    <row r="67" spans="1:12" x14ac:dyDescent="0.4">
      <c r="A67" s="7">
        <f>ROW()-4</f>
        <v>63</v>
      </c>
      <c r="B67" s="8"/>
      <c r="C67" s="7"/>
      <c r="D67" s="7"/>
      <c r="E67" s="7"/>
      <c r="F67" s="7"/>
      <c r="G67" s="7"/>
      <c r="H67" s="7"/>
      <c r="I67" s="8"/>
      <c r="J67" s="9" t="str">
        <f ca="1">IF(B67="","",TODAY()-B67)</f>
        <v/>
      </c>
      <c r="K67" s="7" t="str">
        <f ca="1">IF(G67="完了","完了",IF(I67="","",IF(I67&lt;TODAY(),"期限超過",IF(I67&lt;=TODAY()+1,"要対応","予定内"))))</f>
        <v/>
      </c>
      <c r="L67" s="7"/>
    </row>
    <row r="68" spans="1:12" x14ac:dyDescent="0.4">
      <c r="A68" s="7">
        <f>ROW()-4</f>
        <v>64</v>
      </c>
      <c r="B68" s="8"/>
      <c r="C68" s="7"/>
      <c r="D68" s="7"/>
      <c r="E68" s="7"/>
      <c r="F68" s="7"/>
      <c r="G68" s="7"/>
      <c r="H68" s="7"/>
      <c r="I68" s="8"/>
      <c r="J68" s="9" t="str">
        <f ca="1">IF(B68="","",TODAY()-B68)</f>
        <v/>
      </c>
      <c r="K68" s="7" t="str">
        <f ca="1">IF(G68="完了","完了",IF(I68="","",IF(I68&lt;TODAY(),"期限超過",IF(I68&lt;=TODAY()+1,"要対応","予定内"))))</f>
        <v/>
      </c>
      <c r="L68" s="7"/>
    </row>
    <row r="69" spans="1:12" x14ac:dyDescent="0.4">
      <c r="A69" s="7">
        <f>ROW()-4</f>
        <v>65</v>
      </c>
      <c r="B69" s="8"/>
      <c r="C69" s="7"/>
      <c r="D69" s="7"/>
      <c r="E69" s="7"/>
      <c r="F69" s="7"/>
      <c r="G69" s="7"/>
      <c r="H69" s="7"/>
      <c r="I69" s="8"/>
      <c r="J69" s="9" t="str">
        <f ca="1">IF(B69="","",TODAY()-B69)</f>
        <v/>
      </c>
      <c r="K69" s="7" t="str">
        <f ca="1">IF(G69="完了","完了",IF(I69="","",IF(I69&lt;TODAY(),"期限超過",IF(I69&lt;=TODAY()+1,"要対応","予定内"))))</f>
        <v/>
      </c>
      <c r="L69" s="7"/>
    </row>
    <row r="70" spans="1:12" x14ac:dyDescent="0.4">
      <c r="A70" s="7">
        <f>ROW()-4</f>
        <v>66</v>
      </c>
      <c r="B70" s="8"/>
      <c r="C70" s="7"/>
      <c r="D70" s="7"/>
      <c r="E70" s="7"/>
      <c r="F70" s="7"/>
      <c r="G70" s="7"/>
      <c r="H70" s="7"/>
      <c r="I70" s="8"/>
      <c r="J70" s="9" t="str">
        <f ca="1">IF(B70="","",TODAY()-B70)</f>
        <v/>
      </c>
      <c r="K70" s="7" t="str">
        <f ca="1">IF(G70="完了","完了",IF(I70="","",IF(I70&lt;TODAY(),"期限超過",IF(I70&lt;=TODAY()+1,"要対応","予定内"))))</f>
        <v/>
      </c>
      <c r="L70" s="7"/>
    </row>
    <row r="71" spans="1:12" x14ac:dyDescent="0.4">
      <c r="A71" s="7">
        <f>ROW()-4</f>
        <v>67</v>
      </c>
      <c r="B71" s="8"/>
      <c r="C71" s="7"/>
      <c r="D71" s="7"/>
      <c r="E71" s="7"/>
      <c r="F71" s="7"/>
      <c r="G71" s="7"/>
      <c r="H71" s="7"/>
      <c r="I71" s="8"/>
      <c r="J71" s="9" t="str">
        <f ca="1">IF(B71="","",TODAY()-B71)</f>
        <v/>
      </c>
      <c r="K71" s="7" t="str">
        <f ca="1">IF(G71="完了","完了",IF(I71="","",IF(I71&lt;TODAY(),"期限超過",IF(I71&lt;=TODAY()+1,"要対応","予定内"))))</f>
        <v/>
      </c>
      <c r="L71" s="7"/>
    </row>
    <row r="72" spans="1:12" x14ac:dyDescent="0.4">
      <c r="A72" s="7">
        <f>ROW()-4</f>
        <v>68</v>
      </c>
      <c r="B72" s="8"/>
      <c r="C72" s="7"/>
      <c r="D72" s="7"/>
      <c r="E72" s="7"/>
      <c r="F72" s="7"/>
      <c r="G72" s="7"/>
      <c r="H72" s="7"/>
      <c r="I72" s="8"/>
      <c r="J72" s="9" t="str">
        <f ca="1">IF(B72="","",TODAY()-B72)</f>
        <v/>
      </c>
      <c r="K72" s="7" t="str">
        <f ca="1">IF(G72="完了","完了",IF(I72="","",IF(I72&lt;TODAY(),"期限超過",IF(I72&lt;=TODAY()+1,"要対応","予定内"))))</f>
        <v/>
      </c>
      <c r="L72" s="7"/>
    </row>
    <row r="73" spans="1:12" x14ac:dyDescent="0.4">
      <c r="A73" s="7">
        <f>ROW()-4</f>
        <v>69</v>
      </c>
      <c r="B73" s="8"/>
      <c r="C73" s="7"/>
      <c r="D73" s="7"/>
      <c r="E73" s="7"/>
      <c r="F73" s="7"/>
      <c r="G73" s="7"/>
      <c r="H73" s="7"/>
      <c r="I73" s="8"/>
      <c r="J73" s="9" t="str">
        <f ca="1">IF(B73="","",TODAY()-B73)</f>
        <v/>
      </c>
      <c r="K73" s="7" t="str">
        <f ca="1">IF(G73="完了","完了",IF(I73="","",IF(I73&lt;TODAY(),"期限超過",IF(I73&lt;=TODAY()+1,"要対応","予定内"))))</f>
        <v/>
      </c>
      <c r="L73" s="7"/>
    </row>
    <row r="74" spans="1:12" x14ac:dyDescent="0.4">
      <c r="A74" s="7">
        <f>ROW()-4</f>
        <v>70</v>
      </c>
      <c r="B74" s="8"/>
      <c r="C74" s="7"/>
      <c r="D74" s="7"/>
      <c r="E74" s="7"/>
      <c r="F74" s="7"/>
      <c r="G74" s="7"/>
      <c r="H74" s="7"/>
      <c r="I74" s="8"/>
      <c r="J74" s="9" t="str">
        <f ca="1">IF(B74="","",TODAY()-B74)</f>
        <v/>
      </c>
      <c r="K74" s="7" t="str">
        <f ca="1">IF(G74="完了","完了",IF(I74="","",IF(I74&lt;TODAY(),"期限超過",IF(I74&lt;=TODAY()+1,"要対応","予定内"))))</f>
        <v/>
      </c>
      <c r="L74" s="7"/>
    </row>
    <row r="75" spans="1:12" x14ac:dyDescent="0.4">
      <c r="A75" s="7">
        <f>ROW()-4</f>
        <v>71</v>
      </c>
      <c r="B75" s="8"/>
      <c r="C75" s="7"/>
      <c r="D75" s="7"/>
      <c r="E75" s="7"/>
      <c r="F75" s="7"/>
      <c r="G75" s="7"/>
      <c r="H75" s="7"/>
      <c r="I75" s="8"/>
      <c r="J75" s="9" t="str">
        <f ca="1">IF(B75="","",TODAY()-B75)</f>
        <v/>
      </c>
      <c r="K75" s="7" t="str">
        <f ca="1">IF(G75="完了","完了",IF(I75="","",IF(I75&lt;TODAY(),"期限超過",IF(I75&lt;=TODAY()+1,"要対応","予定内"))))</f>
        <v/>
      </c>
      <c r="L75" s="7"/>
    </row>
    <row r="76" spans="1:12" x14ac:dyDescent="0.4">
      <c r="A76" s="7">
        <f>ROW()-4</f>
        <v>72</v>
      </c>
      <c r="B76" s="8"/>
      <c r="C76" s="7"/>
      <c r="D76" s="7"/>
      <c r="E76" s="7"/>
      <c r="F76" s="7"/>
      <c r="G76" s="7"/>
      <c r="H76" s="7"/>
      <c r="I76" s="8"/>
      <c r="J76" s="9" t="str">
        <f ca="1">IF(B76="","",TODAY()-B76)</f>
        <v/>
      </c>
      <c r="K76" s="7" t="str">
        <f ca="1">IF(G76="完了","完了",IF(I76="","",IF(I76&lt;TODAY(),"期限超過",IF(I76&lt;=TODAY()+1,"要対応","予定内"))))</f>
        <v/>
      </c>
      <c r="L76" s="7"/>
    </row>
    <row r="77" spans="1:12" x14ac:dyDescent="0.4">
      <c r="A77" s="7">
        <f>ROW()-4</f>
        <v>73</v>
      </c>
      <c r="B77" s="8"/>
      <c r="C77" s="7"/>
      <c r="D77" s="7"/>
      <c r="E77" s="7"/>
      <c r="F77" s="7"/>
      <c r="G77" s="7"/>
      <c r="H77" s="7"/>
      <c r="I77" s="8"/>
      <c r="J77" s="9" t="str">
        <f ca="1">IF(B77="","",TODAY()-B77)</f>
        <v/>
      </c>
      <c r="K77" s="7" t="str">
        <f ca="1">IF(G77="完了","完了",IF(I77="","",IF(I77&lt;TODAY(),"期限超過",IF(I77&lt;=TODAY()+1,"要対応","予定内"))))</f>
        <v/>
      </c>
      <c r="L77" s="7"/>
    </row>
    <row r="78" spans="1:12" x14ac:dyDescent="0.4">
      <c r="A78" s="7">
        <f>ROW()-4</f>
        <v>74</v>
      </c>
      <c r="B78" s="8"/>
      <c r="C78" s="7"/>
      <c r="D78" s="7"/>
      <c r="E78" s="7"/>
      <c r="F78" s="7"/>
      <c r="G78" s="7"/>
      <c r="H78" s="7"/>
      <c r="I78" s="8"/>
      <c r="J78" s="9" t="str">
        <f ca="1">IF(B78="","",TODAY()-B78)</f>
        <v/>
      </c>
      <c r="K78" s="7" t="str">
        <f ca="1">IF(G78="完了","完了",IF(I78="","",IF(I78&lt;TODAY(),"期限超過",IF(I78&lt;=TODAY()+1,"要対応","予定内"))))</f>
        <v/>
      </c>
      <c r="L78" s="7"/>
    </row>
    <row r="79" spans="1:12" x14ac:dyDescent="0.4">
      <c r="A79" s="7">
        <f>ROW()-4</f>
        <v>75</v>
      </c>
      <c r="B79" s="8"/>
      <c r="C79" s="7"/>
      <c r="D79" s="7"/>
      <c r="E79" s="7"/>
      <c r="F79" s="7"/>
      <c r="G79" s="7"/>
      <c r="H79" s="7"/>
      <c r="I79" s="8"/>
      <c r="J79" s="9" t="str">
        <f ca="1">IF(B79="","",TODAY()-B79)</f>
        <v/>
      </c>
      <c r="K79" s="7" t="str">
        <f ca="1">IF(G79="完了","完了",IF(I79="","",IF(I79&lt;TODAY(),"期限超過",IF(I79&lt;=TODAY()+1,"要対応","予定内"))))</f>
        <v/>
      </c>
      <c r="L79" s="7"/>
    </row>
    <row r="80" spans="1:12" x14ac:dyDescent="0.4">
      <c r="A80" s="7">
        <f>ROW()-4</f>
        <v>76</v>
      </c>
      <c r="B80" s="8"/>
      <c r="C80" s="7"/>
      <c r="D80" s="7"/>
      <c r="E80" s="7"/>
      <c r="F80" s="7"/>
      <c r="G80" s="7"/>
      <c r="H80" s="7"/>
      <c r="I80" s="8"/>
      <c r="J80" s="9" t="str">
        <f ca="1">IF(B80="","",TODAY()-B80)</f>
        <v/>
      </c>
      <c r="K80" s="7" t="str">
        <f ca="1">IF(G80="完了","完了",IF(I80="","",IF(I80&lt;TODAY(),"期限超過",IF(I80&lt;=TODAY()+1,"要対応","予定内"))))</f>
        <v/>
      </c>
      <c r="L80" s="7"/>
    </row>
    <row r="81" spans="1:12" x14ac:dyDescent="0.4">
      <c r="A81" s="7">
        <f>ROW()-4</f>
        <v>77</v>
      </c>
      <c r="B81" s="8"/>
      <c r="C81" s="7"/>
      <c r="D81" s="7"/>
      <c r="E81" s="7"/>
      <c r="F81" s="7"/>
      <c r="G81" s="7"/>
      <c r="H81" s="7"/>
      <c r="I81" s="8"/>
      <c r="J81" s="9" t="str">
        <f ca="1">IF(B81="","",TODAY()-B81)</f>
        <v/>
      </c>
      <c r="K81" s="7" t="str">
        <f ca="1">IF(G81="完了","完了",IF(I81="","",IF(I81&lt;TODAY(),"期限超過",IF(I81&lt;=TODAY()+1,"要対応","予定内"))))</f>
        <v/>
      </c>
      <c r="L81" s="7"/>
    </row>
    <row r="82" spans="1:12" x14ac:dyDescent="0.4">
      <c r="A82" s="7">
        <f>ROW()-4</f>
        <v>78</v>
      </c>
      <c r="B82" s="8"/>
      <c r="C82" s="7"/>
      <c r="D82" s="7"/>
      <c r="E82" s="7"/>
      <c r="F82" s="7"/>
      <c r="G82" s="7"/>
      <c r="H82" s="7"/>
      <c r="I82" s="8"/>
      <c r="J82" s="9" t="str">
        <f ca="1">IF(B82="","",TODAY()-B82)</f>
        <v/>
      </c>
      <c r="K82" s="7" t="str">
        <f ca="1">IF(G82="完了","完了",IF(I82="","",IF(I82&lt;TODAY(),"期限超過",IF(I82&lt;=TODAY()+1,"要対応","予定内"))))</f>
        <v/>
      </c>
      <c r="L82" s="7"/>
    </row>
    <row r="83" spans="1:12" x14ac:dyDescent="0.4">
      <c r="A83" s="7">
        <f>ROW()-4</f>
        <v>79</v>
      </c>
      <c r="B83" s="8"/>
      <c r="C83" s="7"/>
      <c r="D83" s="7"/>
      <c r="E83" s="7"/>
      <c r="F83" s="7"/>
      <c r="G83" s="7"/>
      <c r="H83" s="7"/>
      <c r="I83" s="8"/>
      <c r="J83" s="9" t="str">
        <f ca="1">IF(B83="","",TODAY()-B83)</f>
        <v/>
      </c>
      <c r="K83" s="7" t="str">
        <f ca="1">IF(G83="完了","完了",IF(I83="","",IF(I83&lt;TODAY(),"期限超過",IF(I83&lt;=TODAY()+1,"要対応","予定内"))))</f>
        <v/>
      </c>
      <c r="L83" s="7"/>
    </row>
    <row r="84" spans="1:12" x14ac:dyDescent="0.4">
      <c r="A84" s="7">
        <f>ROW()-4</f>
        <v>80</v>
      </c>
      <c r="B84" s="8"/>
      <c r="C84" s="7"/>
      <c r="D84" s="7"/>
      <c r="E84" s="7"/>
      <c r="F84" s="7"/>
      <c r="G84" s="7"/>
      <c r="H84" s="7"/>
      <c r="I84" s="8"/>
      <c r="J84" s="9" t="str">
        <f ca="1">IF(B84="","",TODAY()-B84)</f>
        <v/>
      </c>
      <c r="K84" s="7" t="str">
        <f ca="1">IF(G84="完了","完了",IF(I84="","",IF(I84&lt;TODAY(),"期限超過",IF(I84&lt;=TODAY()+1,"要対応","予定内"))))</f>
        <v/>
      </c>
      <c r="L84" s="7"/>
    </row>
    <row r="85" spans="1:12" x14ac:dyDescent="0.4">
      <c r="A85" s="7">
        <f>ROW()-4</f>
        <v>81</v>
      </c>
      <c r="B85" s="8"/>
      <c r="C85" s="7"/>
      <c r="D85" s="7"/>
      <c r="E85" s="7"/>
      <c r="F85" s="7"/>
      <c r="G85" s="7"/>
      <c r="H85" s="7"/>
      <c r="I85" s="8"/>
      <c r="J85" s="9" t="str">
        <f ca="1">IF(B85="","",TODAY()-B85)</f>
        <v/>
      </c>
      <c r="K85" s="7" t="str">
        <f ca="1">IF(G85="完了","完了",IF(I85="","",IF(I85&lt;TODAY(),"期限超過",IF(I85&lt;=TODAY()+1,"要対応","予定内"))))</f>
        <v/>
      </c>
      <c r="L85" s="7"/>
    </row>
    <row r="86" spans="1:12" x14ac:dyDescent="0.4">
      <c r="A86" s="7">
        <f>ROW()-4</f>
        <v>82</v>
      </c>
      <c r="B86" s="8"/>
      <c r="C86" s="7"/>
      <c r="D86" s="7"/>
      <c r="E86" s="7"/>
      <c r="F86" s="7"/>
      <c r="G86" s="7"/>
      <c r="H86" s="7"/>
      <c r="I86" s="8"/>
      <c r="J86" s="9" t="str">
        <f ca="1">IF(B86="","",TODAY()-B86)</f>
        <v/>
      </c>
      <c r="K86" s="7" t="str">
        <f ca="1">IF(G86="完了","完了",IF(I86="","",IF(I86&lt;TODAY(),"期限超過",IF(I86&lt;=TODAY()+1,"要対応","予定内"))))</f>
        <v/>
      </c>
      <c r="L86" s="7"/>
    </row>
    <row r="87" spans="1:12" x14ac:dyDescent="0.4">
      <c r="A87" s="7">
        <f>ROW()-4</f>
        <v>83</v>
      </c>
      <c r="B87" s="8"/>
      <c r="C87" s="7"/>
      <c r="D87" s="7"/>
      <c r="E87" s="7"/>
      <c r="F87" s="7"/>
      <c r="G87" s="7"/>
      <c r="H87" s="7"/>
      <c r="I87" s="8"/>
      <c r="J87" s="9" t="str">
        <f ca="1">IF(B87="","",TODAY()-B87)</f>
        <v/>
      </c>
      <c r="K87" s="7" t="str">
        <f ca="1">IF(G87="完了","完了",IF(I87="","",IF(I87&lt;TODAY(),"期限超過",IF(I87&lt;=TODAY()+1,"要対応","予定内"))))</f>
        <v/>
      </c>
      <c r="L87" s="7"/>
    </row>
    <row r="88" spans="1:12" x14ac:dyDescent="0.4">
      <c r="A88" s="7">
        <f>ROW()-4</f>
        <v>84</v>
      </c>
      <c r="B88" s="8"/>
      <c r="C88" s="7"/>
      <c r="D88" s="7"/>
      <c r="E88" s="7"/>
      <c r="F88" s="7"/>
      <c r="G88" s="7"/>
      <c r="H88" s="7"/>
      <c r="I88" s="8"/>
      <c r="J88" s="9" t="str">
        <f ca="1">IF(B88="","",TODAY()-B88)</f>
        <v/>
      </c>
      <c r="K88" s="7" t="str">
        <f ca="1">IF(G88="完了","完了",IF(I88="","",IF(I88&lt;TODAY(),"期限超過",IF(I88&lt;=TODAY()+1,"要対応","予定内"))))</f>
        <v/>
      </c>
      <c r="L88" s="7"/>
    </row>
    <row r="89" spans="1:12" x14ac:dyDescent="0.4">
      <c r="A89" s="7">
        <f>ROW()-4</f>
        <v>85</v>
      </c>
      <c r="B89" s="8"/>
      <c r="C89" s="7"/>
      <c r="D89" s="7"/>
      <c r="E89" s="7"/>
      <c r="F89" s="7"/>
      <c r="G89" s="7"/>
      <c r="H89" s="7"/>
      <c r="I89" s="8"/>
      <c r="J89" s="9" t="str">
        <f ca="1">IF(B89="","",TODAY()-B89)</f>
        <v/>
      </c>
      <c r="K89" s="7" t="str">
        <f ca="1">IF(G89="完了","完了",IF(I89="","",IF(I89&lt;TODAY(),"期限超過",IF(I89&lt;=TODAY()+1,"要対応","予定内"))))</f>
        <v/>
      </c>
      <c r="L89" s="7"/>
    </row>
    <row r="90" spans="1:12" x14ac:dyDescent="0.4">
      <c r="A90" s="7">
        <f>ROW()-4</f>
        <v>86</v>
      </c>
      <c r="B90" s="8"/>
      <c r="C90" s="7"/>
      <c r="D90" s="7"/>
      <c r="E90" s="7"/>
      <c r="F90" s="7"/>
      <c r="G90" s="7"/>
      <c r="H90" s="7"/>
      <c r="I90" s="8"/>
      <c r="J90" s="9" t="str">
        <f ca="1">IF(B90="","",TODAY()-B90)</f>
        <v/>
      </c>
      <c r="K90" s="7" t="str">
        <f ca="1">IF(G90="完了","完了",IF(I90="","",IF(I90&lt;TODAY(),"期限超過",IF(I90&lt;=TODAY()+1,"要対応","予定内"))))</f>
        <v/>
      </c>
      <c r="L90" s="7"/>
    </row>
    <row r="91" spans="1:12" x14ac:dyDescent="0.4">
      <c r="A91" s="7">
        <f>ROW()-4</f>
        <v>87</v>
      </c>
      <c r="B91" s="8"/>
      <c r="C91" s="7"/>
      <c r="D91" s="7"/>
      <c r="E91" s="7"/>
      <c r="F91" s="7"/>
      <c r="G91" s="7"/>
      <c r="H91" s="7"/>
      <c r="I91" s="8"/>
      <c r="J91" s="9" t="str">
        <f ca="1">IF(B91="","",TODAY()-B91)</f>
        <v/>
      </c>
      <c r="K91" s="7" t="str">
        <f ca="1">IF(G91="完了","完了",IF(I91="","",IF(I91&lt;TODAY(),"期限超過",IF(I91&lt;=TODAY()+1,"要対応","予定内"))))</f>
        <v/>
      </c>
      <c r="L91" s="7"/>
    </row>
    <row r="92" spans="1:12" x14ac:dyDescent="0.4">
      <c r="A92" s="7">
        <f>ROW()-4</f>
        <v>88</v>
      </c>
      <c r="B92" s="8"/>
      <c r="C92" s="7"/>
      <c r="D92" s="7"/>
      <c r="E92" s="7"/>
      <c r="F92" s="7"/>
      <c r="G92" s="7"/>
      <c r="H92" s="7"/>
      <c r="I92" s="8"/>
      <c r="J92" s="9" t="str">
        <f ca="1">IF(B92="","",TODAY()-B92)</f>
        <v/>
      </c>
      <c r="K92" s="7" t="str">
        <f ca="1">IF(G92="完了","完了",IF(I92="","",IF(I92&lt;TODAY(),"期限超過",IF(I92&lt;=TODAY()+1,"要対応","予定内"))))</f>
        <v/>
      </c>
      <c r="L92" s="7"/>
    </row>
    <row r="93" spans="1:12" x14ac:dyDescent="0.4">
      <c r="A93" s="7">
        <f>ROW()-4</f>
        <v>89</v>
      </c>
      <c r="B93" s="8"/>
      <c r="C93" s="7"/>
      <c r="D93" s="7"/>
      <c r="E93" s="7"/>
      <c r="F93" s="7"/>
      <c r="G93" s="7"/>
      <c r="H93" s="7"/>
      <c r="I93" s="8"/>
      <c r="J93" s="9" t="str">
        <f ca="1">IF(B93="","",TODAY()-B93)</f>
        <v/>
      </c>
      <c r="K93" s="7" t="str">
        <f ca="1">IF(G93="完了","完了",IF(I93="","",IF(I93&lt;TODAY(),"期限超過",IF(I93&lt;=TODAY()+1,"要対応","予定内"))))</f>
        <v/>
      </c>
      <c r="L93" s="7"/>
    </row>
    <row r="94" spans="1:12" x14ac:dyDescent="0.4">
      <c r="A94" s="7">
        <f>ROW()-4</f>
        <v>90</v>
      </c>
      <c r="B94" s="8"/>
      <c r="C94" s="7"/>
      <c r="D94" s="7"/>
      <c r="E94" s="7"/>
      <c r="F94" s="7"/>
      <c r="G94" s="7"/>
      <c r="H94" s="7"/>
      <c r="I94" s="8"/>
      <c r="J94" s="9" t="str">
        <f ca="1">IF(B94="","",TODAY()-B94)</f>
        <v/>
      </c>
      <c r="K94" s="7" t="str">
        <f ca="1">IF(G94="完了","完了",IF(I94="","",IF(I94&lt;TODAY(),"期限超過",IF(I94&lt;=TODAY()+1,"要対応","予定内"))))</f>
        <v/>
      </c>
      <c r="L94" s="7"/>
    </row>
    <row r="95" spans="1:12" x14ac:dyDescent="0.4">
      <c r="A95" s="7">
        <f>ROW()-4</f>
        <v>91</v>
      </c>
      <c r="B95" s="8"/>
      <c r="C95" s="7"/>
      <c r="D95" s="7"/>
      <c r="E95" s="7"/>
      <c r="F95" s="7"/>
      <c r="G95" s="7"/>
      <c r="H95" s="7"/>
      <c r="I95" s="8"/>
      <c r="J95" s="9" t="str">
        <f ca="1">IF(B95="","",TODAY()-B95)</f>
        <v/>
      </c>
      <c r="K95" s="7" t="str">
        <f ca="1">IF(G95="完了","完了",IF(I95="","",IF(I95&lt;TODAY(),"期限超過",IF(I95&lt;=TODAY()+1,"要対応","予定内"))))</f>
        <v/>
      </c>
      <c r="L95" s="7"/>
    </row>
    <row r="96" spans="1:12" x14ac:dyDescent="0.4">
      <c r="A96" s="7">
        <f>ROW()-4</f>
        <v>92</v>
      </c>
      <c r="B96" s="8"/>
      <c r="C96" s="7"/>
      <c r="D96" s="7"/>
      <c r="E96" s="7"/>
      <c r="F96" s="7"/>
      <c r="G96" s="7"/>
      <c r="H96" s="7"/>
      <c r="I96" s="8"/>
      <c r="J96" s="9" t="str">
        <f ca="1">IF(B96="","",TODAY()-B96)</f>
        <v/>
      </c>
      <c r="K96" s="7" t="str">
        <f ca="1">IF(G96="完了","完了",IF(I96="","",IF(I96&lt;TODAY(),"期限超過",IF(I96&lt;=TODAY()+1,"要対応","予定内"))))</f>
        <v/>
      </c>
      <c r="L96" s="7"/>
    </row>
    <row r="97" spans="1:12" x14ac:dyDescent="0.4">
      <c r="A97" s="7">
        <f>ROW()-4</f>
        <v>93</v>
      </c>
      <c r="B97" s="8"/>
      <c r="C97" s="7"/>
      <c r="D97" s="7"/>
      <c r="E97" s="7"/>
      <c r="F97" s="7"/>
      <c r="G97" s="7"/>
      <c r="H97" s="7"/>
      <c r="I97" s="8"/>
      <c r="J97" s="9" t="str">
        <f ca="1">IF(B97="","",TODAY()-B97)</f>
        <v/>
      </c>
      <c r="K97" s="7" t="str">
        <f ca="1">IF(G97="完了","完了",IF(I97="","",IF(I97&lt;TODAY(),"期限超過",IF(I97&lt;=TODAY()+1,"要対応","予定内"))))</f>
        <v/>
      </c>
      <c r="L97" s="7"/>
    </row>
    <row r="98" spans="1:12" x14ac:dyDescent="0.4">
      <c r="A98" s="7">
        <f>ROW()-4</f>
        <v>94</v>
      </c>
      <c r="B98" s="8"/>
      <c r="C98" s="7"/>
      <c r="D98" s="7"/>
      <c r="E98" s="7"/>
      <c r="F98" s="7"/>
      <c r="G98" s="7"/>
      <c r="H98" s="7"/>
      <c r="I98" s="8"/>
      <c r="J98" s="9" t="str">
        <f ca="1">IF(B98="","",TODAY()-B98)</f>
        <v/>
      </c>
      <c r="K98" s="7" t="str">
        <f ca="1">IF(G98="完了","完了",IF(I98="","",IF(I98&lt;TODAY(),"期限超過",IF(I98&lt;=TODAY()+1,"要対応","予定内"))))</f>
        <v/>
      </c>
      <c r="L98" s="7"/>
    </row>
    <row r="99" spans="1:12" x14ac:dyDescent="0.4">
      <c r="A99" s="7">
        <f>ROW()-4</f>
        <v>95</v>
      </c>
      <c r="B99" s="8"/>
      <c r="C99" s="7"/>
      <c r="D99" s="7"/>
      <c r="E99" s="7"/>
      <c r="F99" s="7"/>
      <c r="G99" s="7"/>
      <c r="H99" s="7"/>
      <c r="I99" s="8"/>
      <c r="J99" s="9" t="str">
        <f ca="1">IF(B99="","",TODAY()-B99)</f>
        <v/>
      </c>
      <c r="K99" s="7" t="str">
        <f ca="1">IF(G99="完了","完了",IF(I99="","",IF(I99&lt;TODAY(),"期限超過",IF(I99&lt;=TODAY()+1,"要対応","予定内"))))</f>
        <v/>
      </c>
      <c r="L99" s="7"/>
    </row>
    <row r="100" spans="1:12" x14ac:dyDescent="0.4">
      <c r="A100" s="7">
        <f>ROW()-4</f>
        <v>96</v>
      </c>
      <c r="B100" s="8"/>
      <c r="C100" s="7"/>
      <c r="D100" s="7"/>
      <c r="E100" s="7"/>
      <c r="F100" s="7"/>
      <c r="G100" s="7"/>
      <c r="H100" s="7"/>
      <c r="I100" s="8"/>
      <c r="J100" s="9" t="str">
        <f ca="1">IF(B100="","",TODAY()-B100)</f>
        <v/>
      </c>
      <c r="K100" s="7" t="str">
        <f ca="1">IF(G100="完了","完了",IF(I100="","",IF(I100&lt;TODAY(),"期限超過",IF(I100&lt;=TODAY()+1,"要対応","予定内"))))</f>
        <v/>
      </c>
      <c r="L100" s="7"/>
    </row>
    <row r="101" spans="1:12" x14ac:dyDescent="0.4">
      <c r="A101" s="7">
        <f>ROW()-4</f>
        <v>97</v>
      </c>
      <c r="B101" s="8"/>
      <c r="C101" s="7"/>
      <c r="D101" s="7"/>
      <c r="E101" s="7"/>
      <c r="F101" s="7"/>
      <c r="G101" s="7"/>
      <c r="H101" s="7"/>
      <c r="I101" s="8"/>
      <c r="J101" s="9" t="str">
        <f ca="1">IF(B101="","",TODAY()-B101)</f>
        <v/>
      </c>
      <c r="K101" s="7" t="str">
        <f ca="1">IF(G101="完了","完了",IF(I101="","",IF(I101&lt;TODAY(),"期限超過",IF(I101&lt;=TODAY()+1,"要対応","予定内"))))</f>
        <v/>
      </c>
      <c r="L101" s="7"/>
    </row>
    <row r="102" spans="1:12" x14ac:dyDescent="0.4">
      <c r="A102" s="7">
        <f>ROW()-4</f>
        <v>98</v>
      </c>
      <c r="B102" s="8"/>
      <c r="C102" s="7"/>
      <c r="D102" s="7"/>
      <c r="E102" s="7"/>
      <c r="F102" s="7"/>
      <c r="G102" s="7"/>
      <c r="H102" s="7"/>
      <c r="I102" s="8"/>
      <c r="J102" s="9" t="str">
        <f ca="1">IF(B102="","",TODAY()-B102)</f>
        <v/>
      </c>
      <c r="K102" s="7" t="str">
        <f ca="1">IF(G102="完了","完了",IF(I102="","",IF(I102&lt;TODAY(),"期限超過",IF(I102&lt;=TODAY()+1,"要対応","予定内"))))</f>
        <v/>
      </c>
      <c r="L102" s="7"/>
    </row>
    <row r="103" spans="1:12" x14ac:dyDescent="0.4">
      <c r="A103" s="7">
        <f>ROW()-4</f>
        <v>99</v>
      </c>
      <c r="B103" s="8"/>
      <c r="C103" s="7"/>
      <c r="D103" s="7"/>
      <c r="E103" s="7"/>
      <c r="F103" s="7"/>
      <c r="G103" s="7"/>
      <c r="H103" s="7"/>
      <c r="I103" s="8"/>
      <c r="J103" s="9" t="str">
        <f ca="1">IF(B103="","",TODAY()-B103)</f>
        <v/>
      </c>
      <c r="K103" s="7" t="str">
        <f ca="1">IF(G103="完了","完了",IF(I103="","",IF(I103&lt;TODAY(),"期限超過",IF(I103&lt;=TODAY()+1,"要対応","予定内"))))</f>
        <v/>
      </c>
      <c r="L103" s="7"/>
    </row>
    <row r="104" spans="1:12" x14ac:dyDescent="0.4">
      <c r="A104" s="7">
        <f>ROW()-4</f>
        <v>100</v>
      </c>
      <c r="B104" s="8"/>
      <c r="C104" s="7"/>
      <c r="D104" s="7"/>
      <c r="E104" s="7"/>
      <c r="F104" s="7"/>
      <c r="G104" s="7"/>
      <c r="H104" s="7"/>
      <c r="I104" s="8"/>
      <c r="J104" s="9" t="str">
        <f ca="1">IF(B104="","",TODAY()-B104)</f>
        <v/>
      </c>
      <c r="K104" s="7" t="str">
        <f ca="1">IF(G104="完了","完了",IF(I104="","",IF(I104&lt;TODAY(),"期限超過",IF(I104&lt;=TODAY()+1,"要対応","予定内"))))</f>
        <v/>
      </c>
      <c r="L104" s="7"/>
    </row>
  </sheetData>
  <mergeCells count="2">
    <mergeCell ref="A1:L1"/>
    <mergeCell ref="A2:L2"/>
  </mergeCells>
  <phoneticPr fontId="1"/>
  <conditionalFormatting sqref="K5:K104">
    <cfRule type="cellIs" dxfId="2" priority="1" stopIfTrue="1" operator="equal">
      <formula>"期限超過"</formula>
    </cfRule>
    <cfRule type="cellIs" dxfId="1" priority="2" stopIfTrue="1" operator="equal">
      <formula>"要対応"</formula>
    </cfRule>
    <cfRule type="cellIs" dxfId="0" priority="3" stopIfTrue="1" operator="equal">
      <formula>"完了"</formula>
    </cfRule>
  </conditionalFormatting>
  <dataValidations count="4">
    <dataValidation type="list" allowBlank="1" showInputMessage="1" showErrorMessage="1" sqref="D5:D104" xr:uid="{806A8506-076D-4537-90B3-077A896E92DD}">
      <formula1>"新規相談,見積依頼,更新依頼,相談,クレーム,その他"</formula1>
    </dataValidation>
    <dataValidation type="list" allowBlank="1" showInputMessage="1" showErrorMessage="1" sqref="F5:F104" xr:uid="{868A1E4C-9E46-4E78-A735-47A75A547E99}">
      <formula1>"高,中,低"</formula1>
    </dataValidation>
    <dataValidation type="list" allowBlank="1" showInputMessage="1" showErrorMessage="1" sqref="G5:G104" xr:uid="{0543E6C0-F080-4284-9783-672013BC9E26}">
      <formula1>"未対応,対応中,確認待ち,完了,保留"</formula1>
    </dataValidation>
    <dataValidation type="list" allowBlank="1" showInputMessage="1" showErrorMessage="1" sqref="K5:K104" xr:uid="{E7A82120-AA97-4CC5-B019-22A931876561}">
      <formula1>"期限超過,要対応,予定内,完了"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集計</vt:lpstr>
      <vt:lpstr>問い合わせ管理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 Takimoto</dc:creator>
  <cp:lastModifiedBy>Taro Takimoto</cp:lastModifiedBy>
  <dcterms:created xsi:type="dcterms:W3CDTF">2026-05-31T01:47:42Z</dcterms:created>
  <dcterms:modified xsi:type="dcterms:W3CDTF">2026-05-31T01:47:46Z</dcterms:modified>
</cp:coreProperties>
</file>